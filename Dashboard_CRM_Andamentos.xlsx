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Como usar" sheetId="2" state="visible" r:id="rId4"/>
    <sheet name="Negocios" sheetId="3" state="visible" r:id="rId5"/>
    <sheet name="Instalacoes" sheetId="4" state="visible" r:id="rId6"/>
    <sheet name="Reparos" sheetId="5" state="visible" r:id="rId7"/>
    <sheet name="Contas" sheetId="6" state="visible" r:id="rId8"/>
    <sheet name="List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<sst xmlns="http://schemas.openxmlformats.org/spreadsheetml/2006/main" count="768" uniqueCount="315">
  <si>
    <t xml:space="preserve">DASHBOARD DE ANDAMENTO DO CRM: LEADS, NEGÓCIOS, INSTALAÇÕES, REPAROS E SAÚDE DA CARTEIRA</t>
  </si>
  <si>
    <t xml:space="preserve">Simulação com dados 100% fictícios. Tudo é calculado a partir das abas de dados.</t>
  </si>
  <si>
    <t xml:space="preserve">Data de referência:</t>
  </si>
  <si>
    <t xml:space="preserve">(edite para recalcular atrasos e dias sem contato)</t>
  </si>
  <si>
    <t xml:space="preserve">Negócios criados</t>
  </si>
  <si>
    <t xml:space="preserve">Em andamento</t>
  </si>
  <si>
    <t xml:space="preserve">Fechados ganhos</t>
  </si>
  <si>
    <t xml:space="preserve">Fechados perdidos</t>
  </si>
  <si>
    <t xml:space="preserve">Taxa de conversão</t>
  </si>
  <si>
    <t xml:space="preserve">Valor em andamento (R$)</t>
  </si>
  <si>
    <t xml:space="preserve">Valor ponderado (R$)</t>
  </si>
  <si>
    <t xml:space="preserve">Ticket médio ganho (R$)</t>
  </si>
  <si>
    <t xml:space="preserve">Instalações concluídas</t>
  </si>
  <si>
    <t xml:space="preserve">Pontos de atenção</t>
  </si>
  <si>
    <t xml:space="preserve">Funil por fase</t>
  </si>
  <si>
    <t xml:space="preserve">Fase</t>
  </si>
  <si>
    <t xml:space="preserve">Negócios</t>
  </si>
  <si>
    <t xml:space="preserve">Valor (R$)</t>
  </si>
  <si>
    <t xml:space="preserve">% do total</t>
  </si>
  <si>
    <t xml:space="preserve">Qualificação</t>
  </si>
  <si>
    <t xml:space="preserve">Orçamento enviado</t>
  </si>
  <si>
    <t xml:space="preserve">Negociação</t>
  </si>
  <si>
    <t xml:space="preserve">Fechado ganho</t>
  </si>
  <si>
    <t xml:space="preserve">Fechado perdido</t>
  </si>
  <si>
    <t xml:space="preserve">Origem dos leads</t>
  </si>
  <si>
    <t xml:space="preserve">Origem</t>
  </si>
  <si>
    <t xml:space="preserve">Ganhos</t>
  </si>
  <si>
    <t xml:space="preserve">Conversão</t>
  </si>
  <si>
    <t xml:space="preserve">WhatsApp</t>
  </si>
  <si>
    <t xml:space="preserve">Instagram</t>
  </si>
  <si>
    <t xml:space="preserve">Indicação</t>
  </si>
  <si>
    <t xml:space="preserve">Site</t>
  </si>
  <si>
    <t xml:space="preserve">Instalações por status</t>
  </si>
  <si>
    <t xml:space="preserve">Status</t>
  </si>
  <si>
    <t xml:space="preserve">Instalações</t>
  </si>
  <si>
    <t xml:space="preserve">Atrasadas</t>
  </si>
  <si>
    <t xml:space="preserve">Agendada</t>
  </si>
  <si>
    <t xml:space="preserve">Material conferido</t>
  </si>
  <si>
    <t xml:space="preserve">Em execução</t>
  </si>
  <si>
    <t xml:space="preserve">Concluída e validada</t>
  </si>
  <si>
    <t xml:space="preserve">Reparos por causa</t>
  </si>
  <si>
    <t xml:space="preserve">Causa</t>
  </si>
  <si>
    <t xml:space="preserve">Reparos</t>
  </si>
  <si>
    <t xml:space="preserve">Em aberto</t>
  </si>
  <si>
    <t xml:space="preserve">Falha de aplicação</t>
  </si>
  <si>
    <t xml:space="preserve">Material com defeito</t>
  </si>
  <si>
    <t xml:space="preserve">Preparo inadequado do local</t>
  </si>
  <si>
    <t xml:space="preserve">Medida incorreta</t>
  </si>
  <si>
    <t xml:space="preserve">Dano após a instalação</t>
  </si>
  <si>
    <t xml:space="preserve">Saúde da carteira</t>
  </si>
  <si>
    <t xml:space="preserve">Clientes</t>
  </si>
  <si>
    <t xml:space="preserve">Saudável</t>
  </si>
  <si>
    <t xml:space="preserve">Atenção</t>
  </si>
  <si>
    <t xml:space="preserve">Risco</t>
  </si>
  <si>
    <t xml:space="preserve">Negócios criados por mês (e ganhos desses negócios)</t>
  </si>
  <si>
    <t xml:space="preserve">Mês</t>
  </si>
  <si>
    <t xml:space="preserve">Criados</t>
  </si>
  <si>
    <t xml:space="preserve">Jun/26</t>
  </si>
  <si>
    <t xml:space="preserve">Jul/26</t>
  </si>
  <si>
    <t xml:space="preserve">Ago/26</t>
  </si>
  <si>
    <t xml:space="preserve">Set/26</t>
  </si>
  <si>
    <t xml:space="preserve">Out/26</t>
  </si>
  <si>
    <t xml:space="preserve">COMO USAR</t>
  </si>
  <si>
    <t xml:space="preserve">Legenda: célula amarela com texto azul = você preenche. Célula cinza = fórmula, não edite.</t>
  </si>
  <si>
    <t xml:space="preserve">Exemplo de linha em Negocios: N-001 | Cliente 001 | WhatsApp | 02/06/2026 | Atendente A | Negociação | 12.000 | 10/10/2026.</t>
  </si>
  <si>
    <t xml:space="preserve">1. Registre cada negócio na aba Negocios (fase, valor, último contato e, se perdido, o motivo).</t>
  </si>
  <si>
    <t xml:space="preserve">2. Quando o negócio for ganho, crie a linha na aba Instalacoes e cadastre o cliente em Contas com o health score.</t>
  </si>
  <si>
    <t xml:space="preserve">3. Reparos ficam na aba Reparos, ligados à instalação de origem.</t>
  </si>
  <si>
    <t xml:space="preserve">4. Ajuste a Data de referência no Painel para recalcular atrasos e dias sem contato.</t>
  </si>
  <si>
    <t xml:space="preserve">5. Para incluir mais linhas, estenda as fórmulas das abas e dos intervalos do Painel até o novo fim dos dados.</t>
  </si>
  <si>
    <t xml:space="preserve">PONTOS DE ATENÇÃO CONTADOS NO PAINEL</t>
  </si>
  <si>
    <t xml:space="preserve">Negócio aberto sem contato há mais de 7 dias · negócio perdido sem motivo · instalação atrasada · instalação concluída sem checklist · reparo aberto há mais de 7 dias.</t>
  </si>
  <si>
    <t xml:space="preserve">PREMISSAS</t>
  </si>
  <si>
    <t xml:space="preserve">Todos os dados são fictícios. Probabilidades por fase (aba Listas), prazo de 7 dias e faixas do health score (80 e 50) são exemplos editáveis.</t>
  </si>
  <si>
    <t xml:space="preserve">Ganhos por mês consideram o mês de criação do negócio.</t>
  </si>
  <si>
    <t xml:space="preserve">NEGÓCIOS (do lead ao fechamento)</t>
  </si>
  <si>
    <t xml:space="preserve">ID</t>
  </si>
  <si>
    <t xml:space="preserve">Cliente</t>
  </si>
  <si>
    <t xml:space="preserve">Data de criação</t>
  </si>
  <si>
    <t xml:space="preserve">Responsável</t>
  </si>
  <si>
    <t xml:space="preserve">Último contato</t>
  </si>
  <si>
    <t xml:space="preserve">Motivo da perda</t>
  </si>
  <si>
    <t xml:space="preserve">Probabilidade</t>
  </si>
  <si>
    <t xml:space="preserve">Dias sem contato</t>
  </si>
  <si>
    <t xml:space="preserve">Alerta</t>
  </si>
  <si>
    <t xml:space="preserve">Mês de criação</t>
  </si>
  <si>
    <t xml:space="preserve">N-001</t>
  </si>
  <si>
    <t xml:space="preserve">Cliente 067</t>
  </si>
  <si>
    <t xml:space="preserve">Atendente B</t>
  </si>
  <si>
    <t xml:space="preserve">N-002</t>
  </si>
  <si>
    <t xml:space="preserve">Cliente 022</t>
  </si>
  <si>
    <t xml:space="preserve">Atendente A</t>
  </si>
  <si>
    <t xml:space="preserve">N-003</t>
  </si>
  <si>
    <t xml:space="preserve">Cliente 007</t>
  </si>
  <si>
    <t xml:space="preserve">N-004</t>
  </si>
  <si>
    <t xml:space="preserve">Cliente 023</t>
  </si>
  <si>
    <t xml:space="preserve">N-005</t>
  </si>
  <si>
    <t xml:space="preserve">Cliente 066</t>
  </si>
  <si>
    <t xml:space="preserve">N-006</t>
  </si>
  <si>
    <t xml:space="preserve">Cliente 027</t>
  </si>
  <si>
    <t xml:space="preserve">N-007</t>
  </si>
  <si>
    <t xml:space="preserve">Cliente 052</t>
  </si>
  <si>
    <t xml:space="preserve">N-008</t>
  </si>
  <si>
    <t xml:space="preserve">Cliente 008</t>
  </si>
  <si>
    <t xml:space="preserve">N-009</t>
  </si>
  <si>
    <t xml:space="preserve">Cliente 017</t>
  </si>
  <si>
    <t xml:space="preserve">Escolheu outro fornecedor</t>
  </si>
  <si>
    <t xml:space="preserve">N-010</t>
  </si>
  <si>
    <t xml:space="preserve">Cliente 031</t>
  </si>
  <si>
    <t xml:space="preserve">Desistiu do projeto</t>
  </si>
  <si>
    <t xml:space="preserve">N-011</t>
  </si>
  <si>
    <t xml:space="preserve">Cliente 075</t>
  </si>
  <si>
    <t xml:space="preserve">N-012</t>
  </si>
  <si>
    <t xml:space="preserve">Cliente 015</t>
  </si>
  <si>
    <t xml:space="preserve">N-013</t>
  </si>
  <si>
    <t xml:space="preserve">Cliente 074</t>
  </si>
  <si>
    <t xml:space="preserve">N-014</t>
  </si>
  <si>
    <t xml:space="preserve">Cliente 033</t>
  </si>
  <si>
    <t xml:space="preserve">N-015</t>
  </si>
  <si>
    <t xml:space="preserve">Cliente 062</t>
  </si>
  <si>
    <t xml:space="preserve">N-016</t>
  </si>
  <si>
    <t xml:space="preserve">Cliente 065</t>
  </si>
  <si>
    <t xml:space="preserve">N-017</t>
  </si>
  <si>
    <t xml:space="preserve">Cliente 001</t>
  </si>
  <si>
    <t xml:space="preserve">N-018</t>
  </si>
  <si>
    <t xml:space="preserve">Cliente 050</t>
  </si>
  <si>
    <t xml:space="preserve">N-019</t>
  </si>
  <si>
    <t xml:space="preserve">Cliente 046</t>
  </si>
  <si>
    <t xml:space="preserve">N-020</t>
  </si>
  <si>
    <t xml:space="preserve">Cliente 072</t>
  </si>
  <si>
    <t xml:space="preserve">N-021</t>
  </si>
  <si>
    <t xml:space="preserve">Cliente 068</t>
  </si>
  <si>
    <t xml:space="preserve">Preço</t>
  </si>
  <si>
    <t xml:space="preserve">N-022</t>
  </si>
  <si>
    <t xml:space="preserve">Cliente 004</t>
  </si>
  <si>
    <t xml:space="preserve">N-023</t>
  </si>
  <si>
    <t xml:space="preserve">Cliente 013</t>
  </si>
  <si>
    <t xml:space="preserve">N-024</t>
  </si>
  <si>
    <t xml:space="preserve">Cliente 029</t>
  </si>
  <si>
    <t xml:space="preserve">N-025</t>
  </si>
  <si>
    <t xml:space="preserve">Cliente 045</t>
  </si>
  <si>
    <t xml:space="preserve">Prazo</t>
  </si>
  <si>
    <t xml:space="preserve">N-026</t>
  </si>
  <si>
    <t xml:space="preserve">Cliente 071</t>
  </si>
  <si>
    <t xml:space="preserve">N-027</t>
  </si>
  <si>
    <t xml:space="preserve">Cliente 064</t>
  </si>
  <si>
    <t xml:space="preserve">N-028</t>
  </si>
  <si>
    <t xml:space="preserve">Cliente 063</t>
  </si>
  <si>
    <t xml:space="preserve">N-029</t>
  </si>
  <si>
    <t xml:space="preserve">Cliente 020</t>
  </si>
  <si>
    <t xml:space="preserve">N-030</t>
  </si>
  <si>
    <t xml:space="preserve">Cliente 056</t>
  </si>
  <si>
    <t xml:space="preserve">N-031</t>
  </si>
  <si>
    <t xml:space="preserve">Cliente 002</t>
  </si>
  <si>
    <t xml:space="preserve">N-032</t>
  </si>
  <si>
    <t xml:space="preserve">Cliente 024</t>
  </si>
  <si>
    <t xml:space="preserve">N-033</t>
  </si>
  <si>
    <t xml:space="preserve">Cliente 051</t>
  </si>
  <si>
    <t xml:space="preserve">N-034</t>
  </si>
  <si>
    <t xml:space="preserve">Cliente 047</t>
  </si>
  <si>
    <t xml:space="preserve">N-035</t>
  </si>
  <si>
    <t xml:space="preserve">Cliente 060</t>
  </si>
  <si>
    <t xml:space="preserve">N-036</t>
  </si>
  <si>
    <t xml:space="preserve">Cliente 026</t>
  </si>
  <si>
    <t xml:space="preserve">N-037</t>
  </si>
  <si>
    <t xml:space="preserve">Cliente 009</t>
  </si>
  <si>
    <t xml:space="preserve">N-038</t>
  </si>
  <si>
    <t xml:space="preserve">Cliente 021</t>
  </si>
  <si>
    <t xml:space="preserve">N-039</t>
  </si>
  <si>
    <t xml:space="preserve">Cliente 034</t>
  </si>
  <si>
    <t xml:space="preserve">N-040</t>
  </si>
  <si>
    <t xml:space="preserve">Cliente 011</t>
  </si>
  <si>
    <t xml:space="preserve">N-041</t>
  </si>
  <si>
    <t xml:space="preserve">Cliente 044</t>
  </si>
  <si>
    <t xml:space="preserve">N-042</t>
  </si>
  <si>
    <t xml:space="preserve">Cliente 041</t>
  </si>
  <si>
    <t xml:space="preserve">N-043</t>
  </si>
  <si>
    <t xml:space="preserve">Cliente 070</t>
  </si>
  <si>
    <t xml:space="preserve">N-044</t>
  </si>
  <si>
    <t xml:space="preserve">Cliente 039</t>
  </si>
  <si>
    <t xml:space="preserve">N-045</t>
  </si>
  <si>
    <t xml:space="preserve">Cliente 038</t>
  </si>
  <si>
    <t xml:space="preserve">N-046</t>
  </si>
  <si>
    <t xml:space="preserve">Cliente 016</t>
  </si>
  <si>
    <t xml:space="preserve">N-047</t>
  </si>
  <si>
    <t xml:space="preserve">Cliente 042</t>
  </si>
  <si>
    <t xml:space="preserve">N-048</t>
  </si>
  <si>
    <t xml:space="preserve">Cliente 010</t>
  </si>
  <si>
    <t xml:space="preserve">N-049</t>
  </si>
  <si>
    <t xml:space="preserve">Cliente 036</t>
  </si>
  <si>
    <t xml:space="preserve">N-050</t>
  </si>
  <si>
    <t xml:space="preserve">Cliente 049</t>
  </si>
  <si>
    <t xml:space="preserve">N-051</t>
  </si>
  <si>
    <t xml:space="preserve">Cliente 058</t>
  </si>
  <si>
    <t xml:space="preserve">N-052</t>
  </si>
  <si>
    <t xml:space="preserve">Cliente 035</t>
  </si>
  <si>
    <t xml:space="preserve">N-053</t>
  </si>
  <si>
    <t xml:space="preserve">Cliente 069</t>
  </si>
  <si>
    <t xml:space="preserve">N-054</t>
  </si>
  <si>
    <t xml:space="preserve">Cliente 012</t>
  </si>
  <si>
    <t xml:space="preserve">N-055</t>
  </si>
  <si>
    <t xml:space="preserve">Cliente 005</t>
  </si>
  <si>
    <t xml:space="preserve">N-056</t>
  </si>
  <si>
    <t xml:space="preserve">Cliente 032</t>
  </si>
  <si>
    <t xml:space="preserve">N-057</t>
  </si>
  <si>
    <t xml:space="preserve">Cliente 037</t>
  </si>
  <si>
    <t xml:space="preserve">N-058</t>
  </si>
  <si>
    <t xml:space="preserve">Cliente 048</t>
  </si>
  <si>
    <t xml:space="preserve">N-059</t>
  </si>
  <si>
    <t xml:space="preserve">Cliente 053</t>
  </si>
  <si>
    <t xml:space="preserve">N-060</t>
  </si>
  <si>
    <t xml:space="preserve">Cliente 055</t>
  </si>
  <si>
    <t xml:space="preserve">N-061</t>
  </si>
  <si>
    <t xml:space="preserve">Cliente 057</t>
  </si>
  <si>
    <t xml:space="preserve">N-062</t>
  </si>
  <si>
    <t xml:space="preserve">Cliente 059</t>
  </si>
  <si>
    <t xml:space="preserve">N-063</t>
  </si>
  <si>
    <t xml:space="preserve">Cliente 061</t>
  </si>
  <si>
    <t xml:space="preserve">N-064</t>
  </si>
  <si>
    <t xml:space="preserve">Cliente 054</t>
  </si>
  <si>
    <t xml:space="preserve">N-065</t>
  </si>
  <si>
    <t xml:space="preserve">Cliente 043</t>
  </si>
  <si>
    <t xml:space="preserve">N-066</t>
  </si>
  <si>
    <t xml:space="preserve">Cliente 077</t>
  </si>
  <si>
    <t xml:space="preserve">N-067</t>
  </si>
  <si>
    <t xml:space="preserve">Cliente 079</t>
  </si>
  <si>
    <t xml:space="preserve">N-068</t>
  </si>
  <si>
    <t xml:space="preserve">Cliente 073</t>
  </si>
  <si>
    <t xml:space="preserve">N-069</t>
  </si>
  <si>
    <t xml:space="preserve">Cliente 080</t>
  </si>
  <si>
    <t xml:space="preserve">N-070</t>
  </si>
  <si>
    <t xml:space="preserve">Cliente 014</t>
  </si>
  <si>
    <t xml:space="preserve">N-071</t>
  </si>
  <si>
    <t xml:space="preserve">Cliente 028</t>
  </si>
  <si>
    <t xml:space="preserve">N-072</t>
  </si>
  <si>
    <t xml:space="preserve">Cliente 030</t>
  </si>
  <si>
    <t xml:space="preserve">N-073</t>
  </si>
  <si>
    <t xml:space="preserve">Cliente 019</t>
  </si>
  <si>
    <t xml:space="preserve">N-074</t>
  </si>
  <si>
    <t xml:space="preserve">Cliente 025</t>
  </si>
  <si>
    <t xml:space="preserve">N-075</t>
  </si>
  <si>
    <t xml:space="preserve">Cliente 040</t>
  </si>
  <si>
    <t xml:space="preserve">N-076</t>
  </si>
  <si>
    <t xml:space="preserve">Cliente 078</t>
  </si>
  <si>
    <t xml:space="preserve">N-077</t>
  </si>
  <si>
    <t xml:space="preserve">Cliente 018</t>
  </si>
  <si>
    <t xml:space="preserve">N-078</t>
  </si>
  <si>
    <t xml:space="preserve">Cliente 076</t>
  </si>
  <si>
    <t xml:space="preserve">N-079</t>
  </si>
  <si>
    <t xml:space="preserve">Cliente 003</t>
  </si>
  <si>
    <t xml:space="preserve">N-080</t>
  </si>
  <si>
    <t xml:space="preserve">Cliente 006</t>
  </si>
  <si>
    <t xml:space="preserve">INSTALAÇÕES (criadas quando o negócio é ganho)</t>
  </si>
  <si>
    <t xml:space="preserve">Negócio</t>
  </si>
  <si>
    <t xml:space="preserve">Data agendada</t>
  </si>
  <si>
    <t xml:space="preserve">Instalador</t>
  </si>
  <si>
    <t xml:space="preserve">Checklist concluído</t>
  </si>
  <si>
    <t xml:space="preserve">I-001</t>
  </si>
  <si>
    <t xml:space="preserve">Instalador C</t>
  </si>
  <si>
    <t xml:space="preserve">Não</t>
  </si>
  <si>
    <t xml:space="preserve">I-002</t>
  </si>
  <si>
    <t xml:space="preserve">Instalador A</t>
  </si>
  <si>
    <t xml:space="preserve">Sim</t>
  </si>
  <si>
    <t xml:space="preserve">I-003</t>
  </si>
  <si>
    <t xml:space="preserve">I-004</t>
  </si>
  <si>
    <t xml:space="preserve">I-005</t>
  </si>
  <si>
    <t xml:space="preserve">Instalador B</t>
  </si>
  <si>
    <t xml:space="preserve">I-006</t>
  </si>
  <si>
    <t xml:space="preserve">I-007</t>
  </si>
  <si>
    <t xml:space="preserve">I-008</t>
  </si>
  <si>
    <t xml:space="preserve">I-009</t>
  </si>
  <si>
    <t xml:space="preserve">I-010</t>
  </si>
  <si>
    <t xml:space="preserve">I-011</t>
  </si>
  <si>
    <t xml:space="preserve">I-012</t>
  </si>
  <si>
    <t xml:space="preserve">I-013</t>
  </si>
  <si>
    <t xml:space="preserve">I-014</t>
  </si>
  <si>
    <t xml:space="preserve">I-015</t>
  </si>
  <si>
    <t xml:space="preserve">I-016</t>
  </si>
  <si>
    <t xml:space="preserve">I-017</t>
  </si>
  <si>
    <t xml:space="preserve">I-018</t>
  </si>
  <si>
    <t xml:space="preserve">I-019</t>
  </si>
  <si>
    <t xml:space="preserve">I-020</t>
  </si>
  <si>
    <t xml:space="preserve">I-021</t>
  </si>
  <si>
    <t xml:space="preserve">I-022</t>
  </si>
  <si>
    <t xml:space="preserve">I-023</t>
  </si>
  <si>
    <t xml:space="preserve">I-024</t>
  </si>
  <si>
    <t xml:space="preserve">I-025</t>
  </si>
  <si>
    <t xml:space="preserve">I-026</t>
  </si>
  <si>
    <t xml:space="preserve">I-027</t>
  </si>
  <si>
    <t xml:space="preserve">I-028</t>
  </si>
  <si>
    <t xml:space="preserve">REPAROS (tickets ligados à instalação)</t>
  </si>
  <si>
    <t xml:space="preserve">Instalação</t>
  </si>
  <si>
    <t xml:space="preserve">Data de abertura</t>
  </si>
  <si>
    <t xml:space="preserve">Dias em aberto</t>
  </si>
  <si>
    <t xml:space="preserve">R-001</t>
  </si>
  <si>
    <t xml:space="preserve">Aberto</t>
  </si>
  <si>
    <t xml:space="preserve">R-002</t>
  </si>
  <si>
    <t xml:space="preserve">Em análise</t>
  </si>
  <si>
    <t xml:space="preserve">R-003</t>
  </si>
  <si>
    <t xml:space="preserve">Aguardando material</t>
  </si>
  <si>
    <t xml:space="preserve">R-004</t>
  </si>
  <si>
    <t xml:space="preserve">Reparo agendado</t>
  </si>
  <si>
    <t xml:space="preserve">R-005</t>
  </si>
  <si>
    <t xml:space="preserve">Resolvido</t>
  </si>
  <si>
    <t xml:space="preserve">R-006</t>
  </si>
  <si>
    <t xml:space="preserve">R-007</t>
  </si>
  <si>
    <t xml:space="preserve">R-008</t>
  </si>
  <si>
    <t xml:space="preserve">CONTAS: SAÚDE DO CLIENTE (health score)</t>
  </si>
  <si>
    <t xml:space="preserve">Health score (0 a 100)</t>
  </si>
  <si>
    <t xml:space="preserve">Status de saúde</t>
  </si>
  <si>
    <t xml:space="preserve">Fase do negócio</t>
  </si>
  <si>
    <t xml:space="preserve">Status da instalação</t>
  </si>
  <si>
    <t xml:space="preserve">Causa do reparo</t>
  </si>
  <si>
    <t xml:space="preserve">Status do reparo</t>
  </si>
  <si>
    <t xml:space="preserve">Probabilidades por fase: premissa de exemplo, editável.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</si>
</sst>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0%"/>
    <numFmt numFmtId="168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E699"/>
      <rgbColor rgb="FFF9F9F9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Funil por fase (nº de negócios)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Painel!B13</c:f>
              <c:strCache>
                <c:ptCount val="1"/>
                <c:pt idx="0">
                  <c:v>Negócios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Painel!$A$14:$A$18</c:f>
              <c:strCache>
                <c:ptCount val="5"/>
                <c:pt idx="0">
                  <c:v>Qualificação</c:v>
                </c:pt>
                <c:pt idx="1">
                  <c:v>Orçamento enviado</c:v>
                </c:pt>
                <c:pt idx="2">
                  <c:v>Negociação</c:v>
                </c:pt>
                <c:pt idx="3">
                  <c:v>Fechado ganho</c:v>
                </c:pt>
                <c:pt idx="4">
                  <c:v>Fechado perdido</c:v>
                </c:pt>
              </c:strCache>
            </c:strRef>
          </c:cat>
          <c:val>
            <c:numRef>
              <c:f>Painel!$B$14:$B$18</c:f>
              <c:numCache>
                <c:formatCode>0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10</c:v>
                </c:pt>
                <c:pt idx="3">
                  <c:v>28</c:v>
                </c:pt>
                <c:pt idx="4">
                  <c:v>16</c:v>
                </c:pt>
              </c:numCache>
            </c:numRef>
          </c:val>
        </c:ser>
        <c:gapWidth val="150"/>
        <c:overlap val="0"/>
        <c:axId val="79316925"/>
        <c:axId val="96065424"/>
      </c:barChart>
      <c:catAx>
        <c:axId val="793169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65424"/>
        <c:crosses val="autoZero"/>
        <c:auto val="1"/>
        <c:lblAlgn val="ctr"/>
        <c:lblOffset val="100"/>
        <c:noMultiLvlLbl val="0"/>
      </c:catAx>
      <c:valAx>
        <c:axId val="96065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169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Negócios criados e ganhos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Painel!B46</c:f>
              <c:strCache>
                <c:ptCount val="1"/>
                <c:pt idx="0">
                  <c:v>Criados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Painel!$A$47:$A$51</c:f>
              <c:strCache>
                <c:ptCount val="5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</c:strCache>
            </c:strRef>
          </c:cat>
          <c:val>
            <c:numRef>
              <c:f>Painel!$B$47:$B$51</c:f>
              <c:numCache>
                <c:formatCode>0</c:formatCode>
                <c:ptCount val="5"/>
                <c:pt idx="0">
                  <c:v>12</c:v>
                </c:pt>
                <c:pt idx="1">
                  <c:v>8</c:v>
                </c:pt>
                <c:pt idx="2">
                  <c:v>16</c:v>
                </c:pt>
                <c:pt idx="3">
                  <c:v>31</c:v>
                </c:pt>
                <c:pt idx="4">
                  <c:v>13</c:v>
                </c:pt>
              </c:numCache>
            </c:numRef>
          </c:val>
        </c:ser>
        <c:ser>
          <c:idx val="1"/>
          <c:order val="1"/>
          <c:tx>
            <c:strRef>
              <c:f>Painel!C46</c:f>
              <c:strCache>
                <c:ptCount val="1"/>
                <c:pt idx="0">
                  <c:v>Ganhos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Painel!$A$47:$A$51</c:f>
              <c:strCache>
                <c:ptCount val="5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</c:strCache>
            </c:strRef>
          </c:cat>
          <c:val>
            <c:numRef>
              <c:f>Painel!$C$47:$C$51</c:f>
              <c:numCache>
                <c:formatCode>0</c:formatCode>
                <c:ptCount val="5"/>
                <c:pt idx="0">
                  <c:v>10</c:v>
                </c:pt>
                <c:pt idx="1">
                  <c:v>6</c:v>
                </c:pt>
                <c:pt idx="2">
                  <c:v>5</c:v>
                </c:pt>
                <c:pt idx="3">
                  <c:v>7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2425726"/>
        <c:axId val="84013731"/>
      </c:barChart>
      <c:catAx>
        <c:axId val="524257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13731"/>
        <c:crosses val="autoZero"/>
        <c:auto val="1"/>
        <c:lblAlgn val="ctr"/>
        <c:lblOffset val="100"/>
        <c:noMultiLvlLbl val="0"/>
      </c:catAx>
      <c:valAx>
        <c:axId val="84013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257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Origem dos leads: negócios e ganhos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Painel!B20</c:f>
              <c:strCache>
                <c:ptCount val="1"/>
                <c:pt idx="0">
                  <c:v>Negócios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Painel!$A$21:$A$24</c:f>
              <c:strCache>
                <c:ptCount val="4"/>
                <c:pt idx="0">
                  <c:v>WhatsApp</c:v>
                </c:pt>
                <c:pt idx="1">
                  <c:v>Instagram</c:v>
                </c:pt>
                <c:pt idx="2">
                  <c:v>Indicação</c:v>
                </c:pt>
                <c:pt idx="3">
                  <c:v>Site</c:v>
                </c:pt>
              </c:strCache>
            </c:strRef>
          </c:cat>
          <c:val>
            <c:numRef>
              <c:f>Painel!$B$21:$B$24</c:f>
              <c:numCache>
                <c:formatCode>0</c:formatCode>
                <c:ptCount val="4"/>
                <c:pt idx="0">
                  <c:v>19</c:v>
                </c:pt>
                <c:pt idx="1">
                  <c:v>22</c:v>
                </c:pt>
                <c:pt idx="2">
                  <c:v>19</c:v>
                </c:pt>
                <c:pt idx="3">
                  <c:v>20</c:v>
                </c:pt>
              </c:numCache>
            </c:numRef>
          </c:val>
        </c:ser>
        <c:ser>
          <c:idx val="1"/>
          <c:order val="1"/>
          <c:tx>
            <c:strRef>
              <c:f>Painel!C20</c:f>
              <c:strCache>
                <c:ptCount val="1"/>
                <c:pt idx="0">
                  <c:v>Ganhos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Painel!$A$21:$A$24</c:f>
              <c:strCache>
                <c:ptCount val="4"/>
                <c:pt idx="0">
                  <c:v>WhatsApp</c:v>
                </c:pt>
                <c:pt idx="1">
                  <c:v>Instagram</c:v>
                </c:pt>
                <c:pt idx="2">
                  <c:v>Indicação</c:v>
                </c:pt>
                <c:pt idx="3">
                  <c:v>Site</c:v>
                </c:pt>
              </c:strCache>
            </c:strRef>
          </c:cat>
          <c:val>
            <c:numRef>
              <c:f>Painel!$C$21:$C$24</c:f>
              <c:numCache>
                <c:formatCode>0</c:formatCode>
                <c:ptCount val="4"/>
                <c:pt idx="0">
                  <c:v>3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</c:numCache>
            </c:numRef>
          </c:val>
        </c:ser>
        <c:gapWidth val="150"/>
        <c:overlap val="0"/>
        <c:axId val="1971882"/>
        <c:axId val="86505588"/>
      </c:barChart>
      <c:catAx>
        <c:axId val="19718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05588"/>
        <c:crosses val="autoZero"/>
        <c:auto val="1"/>
        <c:lblAlgn val="ctr"/>
        <c:lblOffset val="100"/>
        <c:noMultiLvlLbl val="0"/>
      </c:catAx>
      <c:valAx>
        <c:axId val="865055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18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Instalações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Painel!B26</c:f>
              <c:strCache>
                <c:ptCount val="1"/>
                <c:pt idx="0">
                  <c:v>Instalações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Painel!$A$27:$A$30</c:f>
              <c:strCache>
                <c:ptCount val="4"/>
                <c:pt idx="0">
                  <c:v>Agendada</c:v>
                </c:pt>
                <c:pt idx="1">
                  <c:v>Material conferido</c:v>
                </c:pt>
                <c:pt idx="2">
                  <c:v>Em execução</c:v>
                </c:pt>
                <c:pt idx="3">
                  <c:v>Concluída e validada</c:v>
                </c:pt>
              </c:strCache>
            </c:strRef>
          </c:cat>
          <c:val>
            <c:numRef>
              <c:f>Painel!$B$27:$B$30</c:f>
              <c:numCache>
                <c:formatCode>0</c:formatCode>
                <c:ptCount val="4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18</c:v>
                </c:pt>
              </c:numCache>
            </c:numRef>
          </c:val>
        </c:ser>
        <c:gapWidth val="150"/>
        <c:overlap val="0"/>
        <c:axId val="12923554"/>
        <c:axId val="4080743"/>
      </c:barChart>
      <c:catAx>
        <c:axId val="129235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0743"/>
        <c:crosses val="autoZero"/>
        <c:auto val="1"/>
        <c:lblAlgn val="ctr"/>
        <c:lblOffset val="100"/>
        <c:noMultiLvlLbl val="0"/>
      </c:catAx>
      <c:valAx>
        <c:axId val="40807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235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Reparos por causa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Painel!B32</c:f>
              <c:strCache>
                <c:ptCount val="1"/>
                <c:pt idx="0">
                  <c:v>Reparos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Painel!$A$33:$A$37</c:f>
              <c:strCache>
                <c:ptCount val="5"/>
                <c:pt idx="0">
                  <c:v>Falha de aplicação</c:v>
                </c:pt>
                <c:pt idx="1">
                  <c:v>Material com defeito</c:v>
                </c:pt>
                <c:pt idx="2">
                  <c:v>Preparo inadequado do local</c:v>
                </c:pt>
                <c:pt idx="3">
                  <c:v>Medida incorreta</c:v>
                </c:pt>
                <c:pt idx="4">
                  <c:v>Dano após a instalação</c:v>
                </c:pt>
              </c:strCache>
            </c:strRef>
          </c:cat>
          <c:val>
            <c:numRef>
              <c:f>Painel!$B$33:$B$37</c:f>
              <c:numCache>
                <c:formatCode>0</c:formatCode>
                <c:ptCount val="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gapWidth val="150"/>
        <c:overlap val="0"/>
        <c:axId val="39228230"/>
        <c:axId val="77676526"/>
      </c:barChart>
      <c:catAx>
        <c:axId val="392282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76526"/>
        <c:crosses val="autoZero"/>
        <c:auto val="1"/>
        <c:lblAlgn val="ctr"/>
        <c:lblOffset val="100"/>
        <c:noMultiLvlLbl val="0"/>
      </c:catAx>
      <c:valAx>
        <c:axId val="776765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282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Saúde da carteira (clientes)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Painel!B40</c:f>
              <c:strCache>
                <c:ptCount val="1"/>
                <c:pt idx="0">
                  <c:v>Clientes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Painel!$A$41:$A$43</c:f>
              <c:strCache>
                <c:ptCount val="3"/>
                <c:pt idx="0">
                  <c:v>Saudável</c:v>
                </c:pt>
                <c:pt idx="1">
                  <c:v>Atenção</c:v>
                </c:pt>
                <c:pt idx="2">
                  <c:v>Risco</c:v>
                </c:pt>
              </c:strCache>
            </c:strRef>
          </c:cat>
          <c:val>
            <c:numRef>
              <c:f>Painel!$B$41:$B$43</c:f>
              <c:numCache>
                <c:formatCode>0</c:formatCode>
                <c:ptCount val="3"/>
                <c:pt idx="0">
                  <c:v>9</c:v>
                </c:pt>
                <c:pt idx="1">
                  <c:v>14</c:v>
                </c:pt>
                <c:pt idx="2">
                  <c:v>5</c:v>
                </c:pt>
              </c:numCache>
            </c:numRef>
          </c:val>
        </c:ser>
        <c:gapWidth val="150"/>
        <c:overlap val="0"/>
        <c:axId val="6295926"/>
        <c:axId val="66415893"/>
      </c:barChart>
      <c:catAx>
        <c:axId val="62959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15893"/>
        <c:crosses val="autoZero"/>
        <c:auto val="1"/>
        <c:lblAlgn val="ctr"/>
        <c:lblOffset val="100"/>
        <c:noMultiLvlLbl val="0"/>
      </c:catAx>
      <c:valAx>
        <c:axId val="664158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59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145440</xdr:rowOff>
    </xdr:from>
    <xdr:to>
      <xdr:col>14</xdr:col>
      <xdr:colOff>599040</xdr:colOff>
      <xdr:row>22</xdr:row>
      <xdr:rowOff>188640</xdr:rowOff>
    </xdr:to>
    <xdr:graphicFrame>
      <xdr:nvGraphicFramePr>
        <xdr:cNvPr id="0" name="Chart 1"/>
        <xdr:cNvGraphicFramePr/>
      </xdr:nvGraphicFramePr>
      <xdr:xfrm>
        <a:off x="6625440" y="27050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9</xdr:row>
      <xdr:rowOff>145440</xdr:rowOff>
    </xdr:from>
    <xdr:to>
      <xdr:col>23</xdr:col>
      <xdr:colOff>599400</xdr:colOff>
      <xdr:row>22</xdr:row>
      <xdr:rowOff>188640</xdr:rowOff>
    </xdr:to>
    <xdr:graphicFrame>
      <xdr:nvGraphicFramePr>
        <xdr:cNvPr id="1" name="Chart 2"/>
        <xdr:cNvGraphicFramePr/>
      </xdr:nvGraphicFramePr>
      <xdr:xfrm>
        <a:off x="12335040" y="27050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24</xdr:row>
      <xdr:rowOff>145440</xdr:rowOff>
    </xdr:from>
    <xdr:to>
      <xdr:col>14</xdr:col>
      <xdr:colOff>599040</xdr:colOff>
      <xdr:row>37</xdr:row>
      <xdr:rowOff>188640</xdr:rowOff>
    </xdr:to>
    <xdr:graphicFrame>
      <xdr:nvGraphicFramePr>
        <xdr:cNvPr id="2" name="Chart 3"/>
        <xdr:cNvGraphicFramePr/>
      </xdr:nvGraphicFramePr>
      <xdr:xfrm>
        <a:off x="6625440" y="556272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24</xdr:row>
      <xdr:rowOff>145440</xdr:rowOff>
    </xdr:from>
    <xdr:to>
      <xdr:col>23</xdr:col>
      <xdr:colOff>599400</xdr:colOff>
      <xdr:row>37</xdr:row>
      <xdr:rowOff>188640</xdr:rowOff>
    </xdr:to>
    <xdr:graphicFrame>
      <xdr:nvGraphicFramePr>
        <xdr:cNvPr id="3" name="Chart 4"/>
        <xdr:cNvGraphicFramePr/>
      </xdr:nvGraphicFramePr>
      <xdr:xfrm>
        <a:off x="12335040" y="556272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39</xdr:row>
      <xdr:rowOff>145440</xdr:rowOff>
    </xdr:from>
    <xdr:to>
      <xdr:col>14</xdr:col>
      <xdr:colOff>599040</xdr:colOff>
      <xdr:row>52</xdr:row>
      <xdr:rowOff>188640</xdr:rowOff>
    </xdr:to>
    <xdr:graphicFrame>
      <xdr:nvGraphicFramePr>
        <xdr:cNvPr id="4" name="Chart 5"/>
        <xdr:cNvGraphicFramePr/>
      </xdr:nvGraphicFramePr>
      <xdr:xfrm>
        <a:off x="6625440" y="84200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39</xdr:row>
      <xdr:rowOff>145440</xdr:rowOff>
    </xdr:from>
    <xdr:to>
      <xdr:col>23</xdr:col>
      <xdr:colOff>599400</xdr:colOff>
      <xdr:row>52</xdr:row>
      <xdr:rowOff>188640</xdr:rowOff>
    </xdr:to>
    <xdr:graphicFrame>
      <xdr:nvGraphicFramePr>
        <xdr:cNvPr id="5" name="Chart 6"/>
        <xdr:cNvGraphicFramePr/>
      </xdr:nvGraphicFramePr>
      <xdr:xfrm>
        <a:off x="12335040" y="84200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3"/>
    <col collapsed="false" customWidth="true" hidden="false" outlineLevel="0" max="7" min="7" style="0" width="3"/>
    <col collapsed="false" customWidth="true" hidden="false" outlineLevel="0" max="26" min="8" style="0" width="9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46310</v>
      </c>
      <c r="C3" s="2" t="s">
        <v>3</v>
      </c>
    </row>
    <row r="5" customFormat="false" ht="30" hidden="false" customHeight="true" outlineLevel="0" collapsed="false">
      <c r="A5" s="5" t="s">
        <v>4</v>
      </c>
      <c r="B5" s="5"/>
      <c r="C5" s="5" t="s">
        <v>5</v>
      </c>
      <c r="D5" s="5"/>
      <c r="E5" s="5" t="s">
        <v>6</v>
      </c>
      <c r="F5" s="5"/>
      <c r="G5" s="5" t="s">
        <v>7</v>
      </c>
      <c r="H5" s="5"/>
      <c r="I5" s="5" t="s">
        <v>8</v>
      </c>
      <c r="J5" s="5"/>
    </row>
    <row r="6" customFormat="false" ht="31.5" hidden="false" customHeight="true" outlineLevel="0" collapsed="false">
      <c r="A6" s="6" t="n">
        <f aca="false">COUNTA(Negocios!$A$3:$A$82)</f>
        <v>80</v>
      </c>
      <c r="B6" s="6"/>
      <c r="C6" s="6" t="n">
        <f aca="false">COUNTA(Negocios!$A$3:$A$82)-COUNTIF(Negocios!$F$3:$F$82,"Fechado ganho")-COUNTIF(Negocios!$F$3:$F$82,"Fechado perdido")</f>
        <v>36</v>
      </c>
      <c r="D6" s="6"/>
      <c r="E6" s="6" t="n">
        <f aca="false">COUNTIF(Negocios!$F$3:$F$82,"Fechado ganho")</f>
        <v>28</v>
      </c>
      <c r="F6" s="6"/>
      <c r="G6" s="6" t="n">
        <f aca="false">COUNTIF(Negocios!$F$3:$F$82,"Fechado perdido")</f>
        <v>16</v>
      </c>
      <c r="H6" s="6"/>
      <c r="I6" s="7" t="n">
        <f aca="false">IFERROR(COUNTIF(Negocios!$F$3:$F$82,"Fechado ganho")/(COUNTIF(Negocios!$F$3:$F$82,"Fechado ganho")+COUNTIF(Negocios!$F$3:$F$82,"Fechado perdido")),0)</f>
        <v>0.636363636363636</v>
      </c>
      <c r="J6" s="7"/>
    </row>
    <row r="8" customFormat="false" ht="30" hidden="false" customHeight="true" outlineLevel="0" collapsed="false">
      <c r="A8" s="5" t="s">
        <v>9</v>
      </c>
      <c r="B8" s="5"/>
      <c r="C8" s="5" t="s">
        <v>10</v>
      </c>
      <c r="D8" s="5"/>
      <c r="E8" s="5" t="s">
        <v>11</v>
      </c>
      <c r="F8" s="5"/>
      <c r="G8" s="5" t="s">
        <v>12</v>
      </c>
      <c r="H8" s="5"/>
      <c r="I8" s="5" t="s">
        <v>13</v>
      </c>
      <c r="J8" s="5"/>
    </row>
    <row r="9" customFormat="false" ht="31.5" hidden="false" customHeight="true" outlineLevel="0" collapsed="false">
      <c r="A9" s="8" t="n">
        <f aca="false">SUM(Negocios!$G$3:$G$82)-SUMIFS(Negocios!$G$3:$G$82,Negocios!$F$3:$F$82,"Fechado ganho")-SUMIFS(Negocios!$G$3:$G$82,Negocios!$F$3:$F$82,"Fechado perdido")</f>
        <v>553000</v>
      </c>
      <c r="B9" s="8"/>
      <c r="C9" s="8" t="n">
        <f aca="false">SUM(Negocios!$K$3:$K$82)</f>
        <v>220540</v>
      </c>
      <c r="D9" s="8"/>
      <c r="E9" s="8" t="n">
        <f aca="false">IFERROR(AVERAGEIFS(Negocios!$G$3:$G$82,Negocios!$F$3:$F$82,"Fechado ganho"),0)</f>
        <v>13503.5714285714</v>
      </c>
      <c r="F9" s="8"/>
      <c r="G9" s="7" t="n">
        <f aca="false">IFERROR(COUNTIF(Instalacoes!$F$3:$F$30,"Concluída e validada")/COUNTA(Instalacoes!$A$3:$A$30),0)</f>
        <v>0.642857142857143</v>
      </c>
      <c r="H9" s="7"/>
      <c r="I9" s="6" t="n">
        <f aca="false">COUNTIF(Negocios!$M$3:$M$82,"Sem contato*")+COUNTIF(Negocios!$M$3:$M$82,"Falta*")+COUNTIF(Instalacoes!$H$3:$H$30,"Atrasada")+COUNTIF(Instalacoes!$H$3:$H$30,"Falta*")+COUNTIF(Reparos!$H$3:$H$10,"Aberto há*")</f>
        <v>16</v>
      </c>
      <c r="J9" s="6"/>
    </row>
    <row r="12" customFormat="false" ht="15" hidden="false" customHeight="false" outlineLevel="0" collapsed="false">
      <c r="A12" s="9" t="s">
        <v>14</v>
      </c>
    </row>
    <row r="13" customFormat="false" ht="15" hidden="false" customHeight="false" outlineLevel="0" collapsed="false">
      <c r="A13" s="10" t="s">
        <v>15</v>
      </c>
      <c r="B13" s="10" t="s">
        <v>16</v>
      </c>
      <c r="C13" s="10" t="s">
        <v>17</v>
      </c>
      <c r="D13" s="10" t="s">
        <v>18</v>
      </c>
    </row>
    <row r="14" customFormat="false" ht="15" hidden="false" customHeight="false" outlineLevel="0" collapsed="false">
      <c r="A14" s="11" t="s">
        <v>19</v>
      </c>
      <c r="B14" s="12" t="n">
        <f aca="false">COUNTIF(Negocios!$F$3:$F$82,$A14)</f>
        <v>12</v>
      </c>
      <c r="C14" s="13" t="n">
        <f aca="false">SUMIFS(Negocios!$G$3:$G$82,Negocios!$F$3:$F$82,$A14)</f>
        <v>179200</v>
      </c>
      <c r="D14" s="14" t="n">
        <f aca="false">IFERROR(B14/COUNTA(Negocios!$A$3:$A$82),0)</f>
        <v>0.15</v>
      </c>
    </row>
    <row r="15" customFormat="false" ht="15" hidden="false" customHeight="false" outlineLevel="0" collapsed="false">
      <c r="A15" s="11" t="s">
        <v>20</v>
      </c>
      <c r="B15" s="12" t="n">
        <f aca="false">COUNTIF(Negocios!$F$3:$F$82,$A15)</f>
        <v>14</v>
      </c>
      <c r="C15" s="13" t="n">
        <f aca="false">SUMIFS(Negocios!$G$3:$G$82,Negocios!$F$3:$F$82,$A15)</f>
        <v>196800</v>
      </c>
      <c r="D15" s="14" t="n">
        <f aca="false">IFERROR(B15/COUNTA(Negocios!$A$3:$A$82),0)</f>
        <v>0.175</v>
      </c>
    </row>
    <row r="16" customFormat="false" ht="15" hidden="false" customHeight="false" outlineLevel="0" collapsed="false">
      <c r="A16" s="11" t="s">
        <v>21</v>
      </c>
      <c r="B16" s="12" t="n">
        <f aca="false">COUNTIF(Negocios!$F$3:$F$82,$A16)</f>
        <v>10</v>
      </c>
      <c r="C16" s="13" t="n">
        <f aca="false">SUMIFS(Negocios!$G$3:$G$82,Negocios!$F$3:$F$82,$A16)</f>
        <v>177000</v>
      </c>
      <c r="D16" s="14" t="n">
        <f aca="false">IFERROR(B16/COUNTA(Negocios!$A$3:$A$82),0)</f>
        <v>0.125</v>
      </c>
    </row>
    <row r="17" customFormat="false" ht="15" hidden="false" customHeight="false" outlineLevel="0" collapsed="false">
      <c r="A17" s="11" t="s">
        <v>22</v>
      </c>
      <c r="B17" s="12" t="n">
        <f aca="false">COUNTIF(Negocios!$F$3:$F$82,$A17)</f>
        <v>28</v>
      </c>
      <c r="C17" s="13" t="n">
        <f aca="false">SUMIFS(Negocios!$G$3:$G$82,Negocios!$F$3:$F$82,$A17)</f>
        <v>378100</v>
      </c>
      <c r="D17" s="14" t="n">
        <f aca="false">IFERROR(B17/COUNTA(Negocios!$A$3:$A$82),0)</f>
        <v>0.35</v>
      </c>
    </row>
    <row r="18" customFormat="false" ht="15" hidden="false" customHeight="false" outlineLevel="0" collapsed="false">
      <c r="A18" s="11" t="s">
        <v>23</v>
      </c>
      <c r="B18" s="12" t="n">
        <f aca="false">COUNTIF(Negocios!$F$3:$F$82,$A18)</f>
        <v>16</v>
      </c>
      <c r="C18" s="13" t="n">
        <f aca="false">SUMIFS(Negocios!$G$3:$G$82,Negocios!$F$3:$F$82,$A18)</f>
        <v>167100</v>
      </c>
      <c r="D18" s="14" t="n">
        <f aca="false">IFERROR(B18/COUNTA(Negocios!$A$3:$A$82),0)</f>
        <v>0.2</v>
      </c>
    </row>
    <row r="19" customFormat="false" ht="15" hidden="false" customHeight="false" outlineLevel="0" collapsed="false">
      <c r="A19" s="9" t="s">
        <v>24</v>
      </c>
    </row>
    <row r="20" customFormat="false" ht="15" hidden="false" customHeight="false" outlineLevel="0" collapsed="false">
      <c r="A20" s="10" t="s">
        <v>25</v>
      </c>
      <c r="B20" s="10" t="s">
        <v>16</v>
      </c>
      <c r="C20" s="10" t="s">
        <v>26</v>
      </c>
      <c r="D20" s="10" t="s">
        <v>27</v>
      </c>
    </row>
    <row r="21" customFormat="false" ht="15" hidden="false" customHeight="false" outlineLevel="0" collapsed="false">
      <c r="A21" s="11" t="s">
        <v>28</v>
      </c>
      <c r="B21" s="12" t="n">
        <f aca="false">COUNTIF(Negocios!$C$3:$C$82,$A21)</f>
        <v>19</v>
      </c>
      <c r="C21" s="12" t="n">
        <f aca="false">COUNTIFS(Negocios!$C$3:$C$82,$A21,Negocios!$F$3:$F$82,"Fechado ganho")</f>
        <v>3</v>
      </c>
      <c r="D21" s="14" t="n">
        <f aca="false">IFERROR(C21/(C21+COUNTIFS(Negocios!$C$3:$C$82,$A21,Negocios!$F$3:$F$82,"Fechado perdido")),0)</f>
        <v>0.375</v>
      </c>
    </row>
    <row r="22" customFormat="false" ht="15" hidden="false" customHeight="false" outlineLevel="0" collapsed="false">
      <c r="A22" s="11" t="s">
        <v>29</v>
      </c>
      <c r="B22" s="12" t="n">
        <f aca="false">COUNTIF(Negocios!$C$3:$C$82,$A22)</f>
        <v>22</v>
      </c>
      <c r="C22" s="12" t="n">
        <f aca="false">COUNTIFS(Negocios!$C$3:$C$82,$A22,Negocios!$F$3:$F$82,"Fechado ganho")</f>
        <v>8</v>
      </c>
      <c r="D22" s="14" t="n">
        <f aca="false">IFERROR(C22/(C22+COUNTIFS(Negocios!$C$3:$C$82,$A22,Negocios!$F$3:$F$82,"Fechado perdido")),0)</f>
        <v>0.727272727272727</v>
      </c>
    </row>
    <row r="23" customFormat="false" ht="15" hidden="false" customHeight="false" outlineLevel="0" collapsed="false">
      <c r="A23" s="11" t="s">
        <v>30</v>
      </c>
      <c r="B23" s="12" t="n">
        <f aca="false">COUNTIF(Negocios!$C$3:$C$82,$A23)</f>
        <v>19</v>
      </c>
      <c r="C23" s="12" t="n">
        <f aca="false">COUNTIFS(Negocios!$C$3:$C$82,$A23,Negocios!$F$3:$F$82,"Fechado ganho")</f>
        <v>9</v>
      </c>
      <c r="D23" s="14" t="n">
        <f aca="false">IFERROR(C23/(C23+COUNTIFS(Negocios!$C$3:$C$82,$A23,Negocios!$F$3:$F$82,"Fechado perdido")),0)</f>
        <v>0.9</v>
      </c>
    </row>
    <row r="24" customFormat="false" ht="15" hidden="false" customHeight="false" outlineLevel="0" collapsed="false">
      <c r="A24" s="11" t="s">
        <v>31</v>
      </c>
      <c r="B24" s="12" t="n">
        <f aca="false">COUNTIF(Negocios!$C$3:$C$82,$A24)</f>
        <v>20</v>
      </c>
      <c r="C24" s="12" t="n">
        <f aca="false">COUNTIFS(Negocios!$C$3:$C$82,$A24,Negocios!$F$3:$F$82,"Fechado ganho")</f>
        <v>8</v>
      </c>
      <c r="D24" s="14" t="n">
        <f aca="false">IFERROR(C24/(C24+COUNTIFS(Negocios!$C$3:$C$82,$A24,Negocios!$F$3:$F$82,"Fechado perdido")),0)</f>
        <v>0.533333333333333</v>
      </c>
    </row>
    <row r="25" customFormat="false" ht="15" hidden="false" customHeight="false" outlineLevel="0" collapsed="false">
      <c r="A25" s="9" t="s">
        <v>32</v>
      </c>
    </row>
    <row r="26" customFormat="false" ht="15" hidden="false" customHeight="false" outlineLevel="0" collapsed="false">
      <c r="A26" s="10" t="s">
        <v>33</v>
      </c>
      <c r="B26" s="10" t="s">
        <v>34</v>
      </c>
      <c r="C26" s="10" t="s">
        <v>18</v>
      </c>
      <c r="D26" s="10" t="s">
        <v>35</v>
      </c>
    </row>
    <row r="27" customFormat="false" ht="15" hidden="false" customHeight="false" outlineLevel="0" collapsed="false">
      <c r="A27" s="11" t="s">
        <v>36</v>
      </c>
      <c r="B27" s="12" t="n">
        <f aca="false">COUNTIF(Instalacoes!$F$3:$F$30,$A27)</f>
        <v>3</v>
      </c>
      <c r="C27" s="14" t="n">
        <f aca="false">IFERROR(B27/COUNTA(Instalacoes!$A$3:$A$30),0)</f>
        <v>0.107142857142857</v>
      </c>
      <c r="D27" s="12" t="n">
        <f aca="false">COUNTIFS(Instalacoes!$F$3:$F$30,$A27,Instalacoes!$H$3:$H$30,"Atrasada")</f>
        <v>0</v>
      </c>
    </row>
    <row r="28" customFormat="false" ht="15" hidden="false" customHeight="false" outlineLevel="0" collapsed="false">
      <c r="A28" s="11" t="s">
        <v>37</v>
      </c>
      <c r="B28" s="12" t="n">
        <f aca="false">COUNTIF(Instalacoes!$F$3:$F$30,$A28)</f>
        <v>3</v>
      </c>
      <c r="C28" s="14" t="n">
        <f aca="false">IFERROR(B28/COUNTA(Instalacoes!$A$3:$A$30),0)</f>
        <v>0.107142857142857</v>
      </c>
      <c r="D28" s="12" t="n">
        <f aca="false">COUNTIFS(Instalacoes!$F$3:$F$30,$A28,Instalacoes!$H$3:$H$30,"Atrasada")</f>
        <v>1</v>
      </c>
    </row>
    <row r="29" customFormat="false" ht="15" hidden="false" customHeight="false" outlineLevel="0" collapsed="false">
      <c r="A29" s="11" t="s">
        <v>38</v>
      </c>
      <c r="B29" s="12" t="n">
        <f aca="false">COUNTIF(Instalacoes!$F$3:$F$30,$A29)</f>
        <v>4</v>
      </c>
      <c r="C29" s="14" t="n">
        <f aca="false">IFERROR(B29/COUNTA(Instalacoes!$A$3:$A$30),0)</f>
        <v>0.142857142857143</v>
      </c>
      <c r="D29" s="12" t="n">
        <f aca="false">COUNTIFS(Instalacoes!$F$3:$F$30,$A29,Instalacoes!$H$3:$H$30,"Atrasada")</f>
        <v>3</v>
      </c>
    </row>
    <row r="30" customFormat="false" ht="15" hidden="false" customHeight="false" outlineLevel="0" collapsed="false">
      <c r="A30" s="11" t="s">
        <v>39</v>
      </c>
      <c r="B30" s="12" t="n">
        <f aca="false">COUNTIF(Instalacoes!$F$3:$F$30,$A30)</f>
        <v>18</v>
      </c>
      <c r="C30" s="14" t="n">
        <f aca="false">IFERROR(B30/COUNTA(Instalacoes!$A$3:$A$30),0)</f>
        <v>0.642857142857143</v>
      </c>
      <c r="D30" s="12" t="n">
        <f aca="false">COUNTIFS(Instalacoes!$F$3:$F$30,$A30,Instalacoes!$H$3:$H$30,"Atrasada")</f>
        <v>0</v>
      </c>
    </row>
    <row r="31" customFormat="false" ht="15" hidden="false" customHeight="false" outlineLevel="0" collapsed="false">
      <c r="A31" s="9" t="s">
        <v>40</v>
      </c>
    </row>
    <row r="32" customFormat="false" ht="15" hidden="false" customHeight="false" outlineLevel="0" collapsed="false">
      <c r="A32" s="10" t="s">
        <v>41</v>
      </c>
      <c r="B32" s="10" t="s">
        <v>42</v>
      </c>
      <c r="C32" s="10" t="s">
        <v>43</v>
      </c>
    </row>
    <row r="33" customFormat="false" ht="15" hidden="false" customHeight="false" outlineLevel="0" collapsed="false">
      <c r="A33" s="11" t="s">
        <v>44</v>
      </c>
      <c r="B33" s="12" t="n">
        <f aca="false">COUNTIF(Reparos!$D$3:$D$10,$A33)</f>
        <v>2</v>
      </c>
      <c r="C33" s="12" t="n">
        <f aca="false">COUNTIFS(Reparos!$D$3:$D$10,$A33,Reparos!$E$3:$E$10,"&lt;&gt;Resolvido")</f>
        <v>2</v>
      </c>
    </row>
    <row r="34" customFormat="false" ht="15" hidden="false" customHeight="false" outlineLevel="0" collapsed="false">
      <c r="A34" s="11" t="s">
        <v>45</v>
      </c>
      <c r="B34" s="12" t="n">
        <f aca="false">COUNTIF(Reparos!$D$3:$D$10,$A34)</f>
        <v>2</v>
      </c>
      <c r="C34" s="12" t="n">
        <f aca="false">COUNTIFS(Reparos!$D$3:$D$10,$A34,Reparos!$E$3:$E$10,"&lt;&gt;Resolvido")</f>
        <v>1</v>
      </c>
    </row>
    <row r="35" customFormat="false" ht="15" hidden="false" customHeight="false" outlineLevel="0" collapsed="false">
      <c r="A35" s="11" t="s">
        <v>46</v>
      </c>
      <c r="B35" s="12" t="n">
        <f aca="false">COUNTIF(Reparos!$D$3:$D$10,$A35)</f>
        <v>0</v>
      </c>
      <c r="C35" s="12" t="n">
        <f aca="false">COUNTIFS(Reparos!$D$3:$D$10,$A35,Reparos!$E$3:$E$10,"&lt;&gt;Resolvido")</f>
        <v>0</v>
      </c>
    </row>
    <row r="36" customFormat="false" ht="15" hidden="false" customHeight="false" outlineLevel="0" collapsed="false">
      <c r="A36" s="11" t="s">
        <v>47</v>
      </c>
      <c r="B36" s="12" t="n">
        <f aca="false">COUNTIF(Reparos!$D$3:$D$10,$A36)</f>
        <v>2</v>
      </c>
      <c r="C36" s="12" t="n">
        <f aca="false">COUNTIFS(Reparos!$D$3:$D$10,$A36,Reparos!$E$3:$E$10,"&lt;&gt;Resolvido")</f>
        <v>0</v>
      </c>
    </row>
    <row r="37" customFormat="false" ht="15" hidden="false" customHeight="false" outlineLevel="0" collapsed="false">
      <c r="A37" s="11" t="s">
        <v>48</v>
      </c>
      <c r="B37" s="12" t="n">
        <f aca="false">COUNTIF(Reparos!$D$3:$D$10,$A37)</f>
        <v>2</v>
      </c>
      <c r="C37" s="12" t="n">
        <f aca="false">COUNTIFS(Reparos!$D$3:$D$10,$A37,Reparos!$E$3:$E$10,"&lt;&gt;Resolvido")</f>
        <v>1</v>
      </c>
    </row>
    <row r="39" customFormat="false" ht="15" hidden="false" customHeight="false" outlineLevel="0" collapsed="false">
      <c r="A39" s="9" t="s">
        <v>49</v>
      </c>
    </row>
    <row r="40" customFormat="false" ht="15" hidden="false" customHeight="false" outlineLevel="0" collapsed="false">
      <c r="A40" s="10" t="s">
        <v>33</v>
      </c>
      <c r="B40" s="10" t="s">
        <v>50</v>
      </c>
      <c r="C40" s="10" t="s">
        <v>18</v>
      </c>
    </row>
    <row r="41" customFormat="false" ht="15" hidden="false" customHeight="false" outlineLevel="0" collapsed="false">
      <c r="A41" s="11" t="s">
        <v>51</v>
      </c>
      <c r="B41" s="12" t="n">
        <f aca="false">COUNTIF(Contas!$C$3:$C$30,$A41)</f>
        <v>9</v>
      </c>
      <c r="C41" s="14" t="n">
        <f aca="false">IFERROR(B41/COUNTA(Contas!$A$3:$A$30),0)</f>
        <v>0.321428571428571</v>
      </c>
    </row>
    <row r="42" customFormat="false" ht="15" hidden="false" customHeight="false" outlineLevel="0" collapsed="false">
      <c r="A42" s="11" t="s">
        <v>52</v>
      </c>
      <c r="B42" s="12" t="n">
        <f aca="false">COUNTIF(Contas!$C$3:$C$30,$A42)</f>
        <v>14</v>
      </c>
      <c r="C42" s="14" t="n">
        <f aca="false">IFERROR(B42/COUNTA(Contas!$A$3:$A$30),0)</f>
        <v>0.5</v>
      </c>
    </row>
    <row r="43" customFormat="false" ht="15" hidden="false" customHeight="false" outlineLevel="0" collapsed="false">
      <c r="A43" s="11" t="s">
        <v>53</v>
      </c>
      <c r="B43" s="12" t="n">
        <f aca="false">COUNTIF(Contas!$C$3:$C$30,$A43)</f>
        <v>5</v>
      </c>
      <c r="C43" s="14" t="n">
        <f aca="false">IFERROR(B43/COUNTA(Contas!$A$3:$A$30),0)</f>
        <v>0.178571428571429</v>
      </c>
    </row>
    <row r="45" customFormat="false" ht="15" hidden="false" customHeight="false" outlineLevel="0" collapsed="false">
      <c r="A45" s="9" t="s">
        <v>54</v>
      </c>
    </row>
    <row r="46" customFormat="false" ht="15" hidden="false" customHeight="false" outlineLevel="0" collapsed="false">
      <c r="A46" s="10" t="s">
        <v>55</v>
      </c>
      <c r="B46" s="10" t="s">
        <v>56</v>
      </c>
      <c r="C46" s="10" t="s">
        <v>26</v>
      </c>
    </row>
    <row r="47" customFormat="false" ht="15" hidden="false" customHeight="false" outlineLevel="0" collapsed="false">
      <c r="A47" s="11" t="s">
        <v>57</v>
      </c>
      <c r="B47" s="12" t="n">
        <f aca="false">COUNTIF(Negocios!$N$3:$N$82,6)</f>
        <v>12</v>
      </c>
      <c r="C47" s="12" t="n">
        <f aca="false">COUNTIFS(Negocios!$N$3:$N$82,6,Negocios!$F$3:$F$82,"Fechado ganho")</f>
        <v>10</v>
      </c>
    </row>
    <row r="48" customFormat="false" ht="15" hidden="false" customHeight="false" outlineLevel="0" collapsed="false">
      <c r="A48" s="11" t="s">
        <v>58</v>
      </c>
      <c r="B48" s="12" t="n">
        <f aca="false">COUNTIF(Negocios!$N$3:$N$82,7)</f>
        <v>8</v>
      </c>
      <c r="C48" s="12" t="n">
        <f aca="false">COUNTIFS(Negocios!$N$3:$N$82,7,Negocios!$F$3:$F$82,"Fechado ganho")</f>
        <v>6</v>
      </c>
    </row>
    <row r="49" customFormat="false" ht="15" hidden="false" customHeight="false" outlineLevel="0" collapsed="false">
      <c r="A49" s="11" t="s">
        <v>59</v>
      </c>
      <c r="B49" s="12" t="n">
        <f aca="false">COUNTIF(Negocios!$N$3:$N$82,8)</f>
        <v>16</v>
      </c>
      <c r="C49" s="12" t="n">
        <f aca="false">COUNTIFS(Negocios!$N$3:$N$82,8,Negocios!$F$3:$F$82,"Fechado ganho")</f>
        <v>5</v>
      </c>
    </row>
    <row r="50" customFormat="false" ht="15" hidden="false" customHeight="false" outlineLevel="0" collapsed="false">
      <c r="A50" s="11" t="s">
        <v>60</v>
      </c>
      <c r="B50" s="12" t="n">
        <f aca="false">COUNTIF(Negocios!$N$3:$N$82,9)</f>
        <v>31</v>
      </c>
      <c r="C50" s="12" t="n">
        <f aca="false">COUNTIFS(Negocios!$N$3:$N$82,9,Negocios!$F$3:$F$82,"Fechado ganho")</f>
        <v>7</v>
      </c>
    </row>
    <row r="51" customFormat="false" ht="15" hidden="false" customHeight="false" outlineLevel="0" collapsed="false">
      <c r="A51" s="11" t="s">
        <v>61</v>
      </c>
      <c r="B51" s="12" t="n">
        <f aca="false">COUNTIF(Negocios!$N$3:$N$82,10)</f>
        <v>13</v>
      </c>
      <c r="C51" s="12" t="n">
        <f aca="false">COUNTIFS(Negocios!$N$3:$N$82,10,Negocios!$F$3:$F$82,"Fechado ganho")</f>
        <v>0</v>
      </c>
    </row>
  </sheetData>
  <mergeCells count="20"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6.15" hidden="false" customHeight="false" outlineLevel="0" collapsed="false">
      <c r="A1" s="15" t="s">
        <v>62</v>
      </c>
    </row>
    <row r="2" customFormat="false" ht="15" hidden="false" customHeight="false" outlineLevel="0" collapsed="false">
      <c r="A2" s="16"/>
    </row>
    <row r="3" customFormat="false" ht="15" hidden="false" customHeight="false" outlineLevel="0" collapsed="false">
      <c r="A3" s="16" t="s">
        <v>63</v>
      </c>
    </row>
    <row r="4" customFormat="false" ht="15" hidden="false" customHeight="false" outlineLevel="0" collapsed="false">
      <c r="A4" s="16" t="s">
        <v>64</v>
      </c>
    </row>
    <row r="5" customFormat="false" ht="15" hidden="false" customHeight="false" outlineLevel="0" collapsed="false">
      <c r="A5" s="16" t="s">
        <v>65</v>
      </c>
    </row>
    <row r="6" customFormat="false" ht="15" hidden="false" customHeight="false" outlineLevel="0" collapsed="false">
      <c r="A6" s="16" t="s">
        <v>66</v>
      </c>
    </row>
    <row r="7" customFormat="false" ht="15" hidden="false" customHeight="false" outlineLevel="0" collapsed="false">
      <c r="A7" s="16" t="s">
        <v>67</v>
      </c>
    </row>
    <row r="8" customFormat="false" ht="15" hidden="false" customHeight="false" outlineLevel="0" collapsed="false">
      <c r="A8" s="16" t="s">
        <v>68</v>
      </c>
    </row>
    <row r="9" customFormat="false" ht="15" hidden="false" customHeight="false" outlineLevel="0" collapsed="false">
      <c r="A9" s="16" t="s">
        <v>69</v>
      </c>
    </row>
    <row r="10" customFormat="false" ht="15" hidden="false" customHeight="false" outlineLevel="0" collapsed="false">
      <c r="A10" s="16"/>
    </row>
    <row r="11" customFormat="false" ht="15" hidden="false" customHeight="false" outlineLevel="0" collapsed="false">
      <c r="A11" s="17" t="s">
        <v>70</v>
      </c>
    </row>
    <row r="12" customFormat="false" ht="23.85" hidden="false" customHeight="false" outlineLevel="0" collapsed="false">
      <c r="A12" s="16" t="s">
        <v>71</v>
      </c>
    </row>
    <row r="13" customFormat="false" ht="15" hidden="false" customHeight="false" outlineLevel="0" collapsed="false">
      <c r="A13" s="16"/>
    </row>
    <row r="14" customFormat="false" ht="15" hidden="false" customHeight="false" outlineLevel="0" collapsed="false">
      <c r="A14" s="17" t="s">
        <v>72</v>
      </c>
    </row>
    <row r="15" customFormat="false" ht="15" hidden="false" customHeight="false" outlineLevel="0" collapsed="false">
      <c r="A15" s="16" t="s">
        <v>73</v>
      </c>
    </row>
    <row r="16" customFormat="false" ht="15" hidden="false" customHeight="false" outlineLevel="0" collapsed="false">
      <c r="A16" s="16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30"/>
    <col collapsed="false" customWidth="true" hidden="false" outlineLevel="0" max="14" min="14" style="0" width="10"/>
  </cols>
  <sheetData>
    <row r="1" customFormat="false" ht="16.15" hidden="false" customHeight="false" outlineLevel="0" collapsed="false">
      <c r="A1" s="18" t="s">
        <v>75</v>
      </c>
    </row>
    <row r="2" customFormat="false" ht="31.5" hidden="false" customHeight="true" outlineLevel="0" collapsed="false">
      <c r="A2" s="10" t="s">
        <v>76</v>
      </c>
      <c r="B2" s="10" t="s">
        <v>77</v>
      </c>
      <c r="C2" s="10" t="s">
        <v>25</v>
      </c>
      <c r="D2" s="10" t="s">
        <v>78</v>
      </c>
      <c r="E2" s="10" t="s">
        <v>79</v>
      </c>
      <c r="F2" s="10" t="s">
        <v>15</v>
      </c>
      <c r="G2" s="10" t="s">
        <v>17</v>
      </c>
      <c r="H2" s="10" t="s">
        <v>80</v>
      </c>
      <c r="I2" s="10" t="s">
        <v>81</v>
      </c>
      <c r="J2" s="10" t="s">
        <v>82</v>
      </c>
      <c r="K2" s="10" t="s">
        <v>10</v>
      </c>
      <c r="L2" s="10" t="s">
        <v>83</v>
      </c>
      <c r="M2" s="10" t="s">
        <v>84</v>
      </c>
      <c r="N2" s="10" t="s">
        <v>85</v>
      </c>
    </row>
    <row r="3" customFormat="false" ht="15" hidden="false" customHeight="false" outlineLevel="0" collapsed="false">
      <c r="A3" s="19" t="s">
        <v>86</v>
      </c>
      <c r="B3" s="19" t="s">
        <v>87</v>
      </c>
      <c r="C3" s="19" t="s">
        <v>30</v>
      </c>
      <c r="D3" s="4" t="n">
        <v>46177</v>
      </c>
      <c r="E3" s="19" t="s">
        <v>88</v>
      </c>
      <c r="F3" s="19" t="s">
        <v>22</v>
      </c>
      <c r="G3" s="20" t="n">
        <v>20500</v>
      </c>
      <c r="H3" s="4" t="n">
        <v>46189</v>
      </c>
      <c r="I3" s="19"/>
      <c r="J3" s="21" t="n">
        <f aca="false">IFERROR(VLOOKUP(F3,Listas!$A$2:$B$6,2,FALSE()),0)</f>
        <v>1</v>
      </c>
      <c r="K3" s="22" t="n">
        <f aca="false">IF(OR(F3="Fechado ganho",F3="Fechado perdido"),0,G3*J3)</f>
        <v>0</v>
      </c>
      <c r="L3" s="23" t="str">
        <f aca="false">IF(OR(F3="Fechado ganho",F3="Fechado perdido"),"",Painel!$B$3-H3)</f>
        <v/>
      </c>
      <c r="M3" s="23" t="str">
        <f aca="false">IF(AND(F3="Fechado perdido",I3=""),"Falta motivo da perda",IF(OR(F3="Fechado ganho",F3="Fechado perdido"),"",IF(Painel!$B$3-H3&gt;7,"Sem contato há mais de 7 dias","OK")))</f>
        <v/>
      </c>
      <c r="N3" s="23" t="n">
        <f aca="false">MONTH(D3)</f>
        <v>6</v>
      </c>
    </row>
    <row r="4" customFormat="false" ht="15" hidden="false" customHeight="false" outlineLevel="0" collapsed="false">
      <c r="A4" s="19" t="s">
        <v>89</v>
      </c>
      <c r="B4" s="19" t="s">
        <v>90</v>
      </c>
      <c r="C4" s="19" t="s">
        <v>30</v>
      </c>
      <c r="D4" s="4" t="n">
        <v>46178</v>
      </c>
      <c r="E4" s="19" t="s">
        <v>91</v>
      </c>
      <c r="F4" s="19" t="s">
        <v>22</v>
      </c>
      <c r="G4" s="20" t="n">
        <v>15100</v>
      </c>
      <c r="H4" s="4" t="n">
        <v>46192</v>
      </c>
      <c r="I4" s="19"/>
      <c r="J4" s="21" t="n">
        <f aca="false">IFERROR(VLOOKUP(F4,Listas!$A$2:$B$6,2,FALSE()),0)</f>
        <v>1</v>
      </c>
      <c r="K4" s="22" t="n">
        <f aca="false">IF(OR(F4="Fechado ganho",F4="Fechado perdido"),0,G4*J4)</f>
        <v>0</v>
      </c>
      <c r="L4" s="23" t="str">
        <f aca="false">IF(OR(F4="Fechado ganho",F4="Fechado perdido"),"",Painel!$B$3-H4)</f>
        <v/>
      </c>
      <c r="M4" s="23" t="str">
        <f aca="false">IF(AND(F4="Fechado perdido",I4=""),"Falta motivo da perda",IF(OR(F4="Fechado ganho",F4="Fechado perdido"),"",IF(Painel!$B$3-H4&gt;7,"Sem contato há mais de 7 dias","OK")))</f>
        <v/>
      </c>
      <c r="N4" s="23" t="n">
        <f aca="false">MONTH(D4)</f>
        <v>6</v>
      </c>
    </row>
    <row r="5" customFormat="false" ht="15" hidden="false" customHeight="false" outlineLevel="0" collapsed="false">
      <c r="A5" s="19" t="s">
        <v>92</v>
      </c>
      <c r="B5" s="19" t="s">
        <v>93</v>
      </c>
      <c r="C5" s="19" t="s">
        <v>31</v>
      </c>
      <c r="D5" s="4" t="n">
        <v>46179</v>
      </c>
      <c r="E5" s="19" t="s">
        <v>91</v>
      </c>
      <c r="F5" s="19" t="s">
        <v>22</v>
      </c>
      <c r="G5" s="20" t="n">
        <v>8300</v>
      </c>
      <c r="H5" s="4" t="n">
        <v>46187</v>
      </c>
      <c r="I5" s="19"/>
      <c r="J5" s="21" t="n">
        <f aca="false">IFERROR(VLOOKUP(F5,Listas!$A$2:$B$6,2,FALSE()),0)</f>
        <v>1</v>
      </c>
      <c r="K5" s="22" t="n">
        <f aca="false">IF(OR(F5="Fechado ganho",F5="Fechado perdido"),0,G5*J5)</f>
        <v>0</v>
      </c>
      <c r="L5" s="23" t="str">
        <f aca="false">IF(OR(F5="Fechado ganho",F5="Fechado perdido"),"",Painel!$B$3-H5)</f>
        <v/>
      </c>
      <c r="M5" s="23" t="str">
        <f aca="false">IF(AND(F5="Fechado perdido",I5=""),"Falta motivo da perda",IF(OR(F5="Fechado ganho",F5="Fechado perdido"),"",IF(Painel!$B$3-H5&gt;7,"Sem contato há mais de 7 dias","OK")))</f>
        <v/>
      </c>
      <c r="N5" s="23" t="n">
        <f aca="false">MONTH(D5)</f>
        <v>6</v>
      </c>
    </row>
    <row r="6" customFormat="false" ht="15" hidden="false" customHeight="false" outlineLevel="0" collapsed="false">
      <c r="A6" s="19" t="s">
        <v>94</v>
      </c>
      <c r="B6" s="19" t="s">
        <v>95</v>
      </c>
      <c r="C6" s="19" t="s">
        <v>31</v>
      </c>
      <c r="D6" s="4" t="n">
        <v>46179</v>
      </c>
      <c r="E6" s="19" t="s">
        <v>91</v>
      </c>
      <c r="F6" s="19" t="s">
        <v>22</v>
      </c>
      <c r="G6" s="20" t="n">
        <v>18300</v>
      </c>
      <c r="H6" s="4" t="n">
        <v>46184</v>
      </c>
      <c r="I6" s="19"/>
      <c r="J6" s="21" t="n">
        <f aca="false">IFERROR(VLOOKUP(F6,Listas!$A$2:$B$6,2,FALSE()),0)</f>
        <v>1</v>
      </c>
      <c r="K6" s="22" t="n">
        <f aca="false">IF(OR(F6="Fechado ganho",F6="Fechado perdido"),0,G6*J6)</f>
        <v>0</v>
      </c>
      <c r="L6" s="23" t="str">
        <f aca="false">IF(OR(F6="Fechado ganho",F6="Fechado perdido"),"",Painel!$B$3-H6)</f>
        <v/>
      </c>
      <c r="M6" s="23" t="str">
        <f aca="false">IF(AND(F6="Fechado perdido",I6=""),"Falta motivo da perda",IF(OR(F6="Fechado ganho",F6="Fechado perdido"),"",IF(Painel!$B$3-H6&gt;7,"Sem contato há mais de 7 dias","OK")))</f>
        <v/>
      </c>
      <c r="N6" s="23" t="n">
        <f aca="false">MONTH(D6)</f>
        <v>6</v>
      </c>
    </row>
    <row r="7" customFormat="false" ht="15" hidden="false" customHeight="false" outlineLevel="0" collapsed="false">
      <c r="A7" s="19" t="s">
        <v>96</v>
      </c>
      <c r="B7" s="19" t="s">
        <v>97</v>
      </c>
      <c r="C7" s="19" t="s">
        <v>29</v>
      </c>
      <c r="D7" s="4" t="n">
        <v>46179</v>
      </c>
      <c r="E7" s="19" t="s">
        <v>91</v>
      </c>
      <c r="F7" s="19" t="s">
        <v>22</v>
      </c>
      <c r="G7" s="20" t="n">
        <v>3900</v>
      </c>
      <c r="H7" s="4" t="n">
        <v>46188</v>
      </c>
      <c r="I7" s="19"/>
      <c r="J7" s="21" t="n">
        <f aca="false">IFERROR(VLOOKUP(F7,Listas!$A$2:$B$6,2,FALSE()),0)</f>
        <v>1</v>
      </c>
      <c r="K7" s="22" t="n">
        <f aca="false">IF(OR(F7="Fechado ganho",F7="Fechado perdido"),0,G7*J7)</f>
        <v>0</v>
      </c>
      <c r="L7" s="23" t="str">
        <f aca="false">IF(OR(F7="Fechado ganho",F7="Fechado perdido"),"",Painel!$B$3-H7)</f>
        <v/>
      </c>
      <c r="M7" s="23" t="str">
        <f aca="false">IF(AND(F7="Fechado perdido",I7=""),"Falta motivo da perda",IF(OR(F7="Fechado ganho",F7="Fechado perdido"),"",IF(Painel!$B$3-H7&gt;7,"Sem contato há mais de 7 dias","OK")))</f>
        <v/>
      </c>
      <c r="N7" s="23" t="n">
        <f aca="false">MONTH(D7)</f>
        <v>6</v>
      </c>
    </row>
    <row r="8" customFormat="false" ht="15" hidden="false" customHeight="false" outlineLevel="0" collapsed="false">
      <c r="A8" s="19" t="s">
        <v>98</v>
      </c>
      <c r="B8" s="19" t="s">
        <v>99</v>
      </c>
      <c r="C8" s="19" t="s">
        <v>31</v>
      </c>
      <c r="D8" s="4" t="n">
        <v>46181</v>
      </c>
      <c r="E8" s="19" t="s">
        <v>88</v>
      </c>
      <c r="F8" s="19" t="s">
        <v>22</v>
      </c>
      <c r="G8" s="20" t="n">
        <v>15700</v>
      </c>
      <c r="H8" s="4" t="n">
        <v>46184</v>
      </c>
      <c r="I8" s="19"/>
      <c r="J8" s="21" t="n">
        <f aca="false">IFERROR(VLOOKUP(F8,Listas!$A$2:$B$6,2,FALSE()),0)</f>
        <v>1</v>
      </c>
      <c r="K8" s="22" t="n">
        <f aca="false">IF(OR(F8="Fechado ganho",F8="Fechado perdido"),0,G8*J8)</f>
        <v>0</v>
      </c>
      <c r="L8" s="23" t="str">
        <f aca="false">IF(OR(F8="Fechado ganho",F8="Fechado perdido"),"",Painel!$B$3-H8)</f>
        <v/>
      </c>
      <c r="M8" s="23" t="str">
        <f aca="false">IF(AND(F8="Fechado perdido",I8=""),"Falta motivo da perda",IF(OR(F8="Fechado ganho",F8="Fechado perdido"),"",IF(Painel!$B$3-H8&gt;7,"Sem contato há mais de 7 dias","OK")))</f>
        <v/>
      </c>
      <c r="N8" s="23" t="n">
        <f aca="false">MONTH(D8)</f>
        <v>6</v>
      </c>
    </row>
    <row r="9" customFormat="false" ht="15" hidden="false" customHeight="false" outlineLevel="0" collapsed="false">
      <c r="A9" s="19" t="s">
        <v>100</v>
      </c>
      <c r="B9" s="19" t="s">
        <v>101</v>
      </c>
      <c r="C9" s="19" t="s">
        <v>31</v>
      </c>
      <c r="D9" s="4" t="n">
        <v>46183</v>
      </c>
      <c r="E9" s="19" t="s">
        <v>88</v>
      </c>
      <c r="F9" s="19" t="s">
        <v>22</v>
      </c>
      <c r="G9" s="20" t="n">
        <v>14200</v>
      </c>
      <c r="H9" s="4" t="n">
        <v>46196</v>
      </c>
      <c r="I9" s="19"/>
      <c r="J9" s="21" t="n">
        <f aca="false">IFERROR(VLOOKUP(F9,Listas!$A$2:$B$6,2,FALSE()),0)</f>
        <v>1</v>
      </c>
      <c r="K9" s="22" t="n">
        <f aca="false">IF(OR(F9="Fechado ganho",F9="Fechado perdido"),0,G9*J9)</f>
        <v>0</v>
      </c>
      <c r="L9" s="23" t="str">
        <f aca="false">IF(OR(F9="Fechado ganho",F9="Fechado perdido"),"",Painel!$B$3-H9)</f>
        <v/>
      </c>
      <c r="M9" s="23" t="str">
        <f aca="false">IF(AND(F9="Fechado perdido",I9=""),"Falta motivo da perda",IF(OR(F9="Fechado ganho",F9="Fechado perdido"),"",IF(Painel!$B$3-H9&gt;7,"Sem contato há mais de 7 dias","OK")))</f>
        <v/>
      </c>
      <c r="N9" s="23" t="n">
        <f aca="false">MONTH(D9)</f>
        <v>6</v>
      </c>
    </row>
    <row r="10" customFormat="false" ht="15" hidden="false" customHeight="false" outlineLevel="0" collapsed="false">
      <c r="A10" s="19" t="s">
        <v>102</v>
      </c>
      <c r="B10" s="19" t="s">
        <v>103</v>
      </c>
      <c r="C10" s="19" t="s">
        <v>31</v>
      </c>
      <c r="D10" s="4" t="n">
        <v>46184</v>
      </c>
      <c r="E10" s="19" t="s">
        <v>88</v>
      </c>
      <c r="F10" s="19" t="s">
        <v>22</v>
      </c>
      <c r="G10" s="20" t="n">
        <v>6700</v>
      </c>
      <c r="H10" s="4" t="n">
        <v>46193</v>
      </c>
      <c r="I10" s="19"/>
      <c r="J10" s="21" t="n">
        <f aca="false">IFERROR(VLOOKUP(F10,Listas!$A$2:$B$6,2,FALSE()),0)</f>
        <v>1</v>
      </c>
      <c r="K10" s="22" t="n">
        <f aca="false">IF(OR(F10="Fechado ganho",F10="Fechado perdido"),0,G10*J10)</f>
        <v>0</v>
      </c>
      <c r="L10" s="23" t="str">
        <f aca="false">IF(OR(F10="Fechado ganho",F10="Fechado perdido"),"",Painel!$B$3-H10)</f>
        <v/>
      </c>
      <c r="M10" s="23" t="str">
        <f aca="false">IF(AND(F10="Fechado perdido",I10=""),"Falta motivo da perda",IF(OR(F10="Fechado ganho",F10="Fechado perdido"),"",IF(Painel!$B$3-H10&gt;7,"Sem contato há mais de 7 dias","OK")))</f>
        <v/>
      </c>
      <c r="N10" s="23" t="n">
        <f aca="false">MONTH(D10)</f>
        <v>6</v>
      </c>
    </row>
    <row r="11" customFormat="false" ht="15" hidden="false" customHeight="false" outlineLevel="0" collapsed="false">
      <c r="A11" s="19" t="s">
        <v>104</v>
      </c>
      <c r="B11" s="19" t="s">
        <v>105</v>
      </c>
      <c r="C11" s="19" t="s">
        <v>31</v>
      </c>
      <c r="D11" s="4" t="n">
        <v>46191</v>
      </c>
      <c r="E11" s="19" t="s">
        <v>91</v>
      </c>
      <c r="F11" s="19" t="s">
        <v>23</v>
      </c>
      <c r="G11" s="20" t="n">
        <v>6200</v>
      </c>
      <c r="H11" s="4" t="n">
        <v>46201</v>
      </c>
      <c r="I11" s="19" t="s">
        <v>106</v>
      </c>
      <c r="J11" s="21" t="n">
        <f aca="false">IFERROR(VLOOKUP(F11,Listas!$A$2:$B$6,2,FALSE()),0)</f>
        <v>0</v>
      </c>
      <c r="K11" s="22" t="n">
        <f aca="false">IF(OR(F11="Fechado ganho",F11="Fechado perdido"),0,G11*J11)</f>
        <v>0</v>
      </c>
      <c r="L11" s="23" t="str">
        <f aca="false">IF(OR(F11="Fechado ganho",F11="Fechado perdido"),"",Painel!$B$3-H11)</f>
        <v/>
      </c>
      <c r="M11" s="23" t="str">
        <f aca="false">IF(AND(F11="Fechado perdido",I11=""),"Falta motivo da perda",IF(OR(F11="Fechado ganho",F11="Fechado perdido"),"",IF(Painel!$B$3-H11&gt;7,"Sem contato há mais de 7 dias","OK")))</f>
        <v/>
      </c>
      <c r="N11" s="23" t="n">
        <f aca="false">MONTH(D11)</f>
        <v>6</v>
      </c>
    </row>
    <row r="12" customFormat="false" ht="15" hidden="false" customHeight="false" outlineLevel="0" collapsed="false">
      <c r="A12" s="19" t="s">
        <v>107</v>
      </c>
      <c r="B12" s="19" t="s">
        <v>108</v>
      </c>
      <c r="C12" s="19" t="s">
        <v>29</v>
      </c>
      <c r="D12" s="4" t="n">
        <v>46196</v>
      </c>
      <c r="E12" s="19" t="s">
        <v>91</v>
      </c>
      <c r="F12" s="19" t="s">
        <v>23</v>
      </c>
      <c r="G12" s="20" t="n">
        <v>15300</v>
      </c>
      <c r="H12" s="4" t="n">
        <v>46199</v>
      </c>
      <c r="I12" s="19" t="s">
        <v>109</v>
      </c>
      <c r="J12" s="21" t="n">
        <f aca="false">IFERROR(VLOOKUP(F12,Listas!$A$2:$B$6,2,FALSE()),0)</f>
        <v>0</v>
      </c>
      <c r="K12" s="22" t="n">
        <f aca="false">IF(OR(F12="Fechado ganho",F12="Fechado perdido"),0,G12*J12)</f>
        <v>0</v>
      </c>
      <c r="L12" s="23" t="str">
        <f aca="false">IF(OR(F12="Fechado ganho",F12="Fechado perdido"),"",Painel!$B$3-H12)</f>
        <v/>
      </c>
      <c r="M12" s="23" t="str">
        <f aca="false">IF(AND(F12="Fechado perdido",I12=""),"Falta motivo da perda",IF(OR(F12="Fechado ganho",F12="Fechado perdido"),"",IF(Painel!$B$3-H12&gt;7,"Sem contato há mais de 7 dias","OK")))</f>
        <v/>
      </c>
      <c r="N12" s="23" t="n">
        <f aca="false">MONTH(D12)</f>
        <v>6</v>
      </c>
    </row>
    <row r="13" customFormat="false" ht="15" hidden="false" customHeight="false" outlineLevel="0" collapsed="false">
      <c r="A13" s="19" t="s">
        <v>110</v>
      </c>
      <c r="B13" s="19" t="s">
        <v>111</v>
      </c>
      <c r="C13" s="19" t="s">
        <v>29</v>
      </c>
      <c r="D13" s="4" t="n">
        <v>46198</v>
      </c>
      <c r="E13" s="19" t="s">
        <v>91</v>
      </c>
      <c r="F13" s="19" t="s">
        <v>22</v>
      </c>
      <c r="G13" s="20" t="n">
        <v>14100</v>
      </c>
      <c r="H13" s="4" t="n">
        <v>46214</v>
      </c>
      <c r="I13" s="19"/>
      <c r="J13" s="21" t="n">
        <f aca="false">IFERROR(VLOOKUP(F13,Listas!$A$2:$B$6,2,FALSE()),0)</f>
        <v>1</v>
      </c>
      <c r="K13" s="22" t="n">
        <f aca="false">IF(OR(F13="Fechado ganho",F13="Fechado perdido"),0,G13*J13)</f>
        <v>0</v>
      </c>
      <c r="L13" s="23" t="str">
        <f aca="false">IF(OR(F13="Fechado ganho",F13="Fechado perdido"),"",Painel!$B$3-H13)</f>
        <v/>
      </c>
      <c r="M13" s="23" t="str">
        <f aca="false">IF(AND(F13="Fechado perdido",I13=""),"Falta motivo da perda",IF(OR(F13="Fechado ganho",F13="Fechado perdido"),"",IF(Painel!$B$3-H13&gt;7,"Sem contato há mais de 7 dias","OK")))</f>
        <v/>
      </c>
      <c r="N13" s="23" t="n">
        <f aca="false">MONTH(D13)</f>
        <v>6</v>
      </c>
    </row>
    <row r="14" customFormat="false" ht="15" hidden="false" customHeight="false" outlineLevel="0" collapsed="false">
      <c r="A14" s="19" t="s">
        <v>112</v>
      </c>
      <c r="B14" s="19" t="s">
        <v>113</v>
      </c>
      <c r="C14" s="19" t="s">
        <v>30</v>
      </c>
      <c r="D14" s="4" t="n">
        <v>46200</v>
      </c>
      <c r="E14" s="19" t="s">
        <v>91</v>
      </c>
      <c r="F14" s="19" t="s">
        <v>22</v>
      </c>
      <c r="G14" s="20" t="n">
        <v>5700</v>
      </c>
      <c r="H14" s="4" t="n">
        <v>46204</v>
      </c>
      <c r="I14" s="19"/>
      <c r="J14" s="21" t="n">
        <f aca="false">IFERROR(VLOOKUP(F14,Listas!$A$2:$B$6,2,FALSE()),0)</f>
        <v>1</v>
      </c>
      <c r="K14" s="22" t="n">
        <f aca="false">IF(OR(F14="Fechado ganho",F14="Fechado perdido"),0,G14*J14)</f>
        <v>0</v>
      </c>
      <c r="L14" s="23" t="str">
        <f aca="false">IF(OR(F14="Fechado ganho",F14="Fechado perdido"),"",Painel!$B$3-H14)</f>
        <v/>
      </c>
      <c r="M14" s="23" t="str">
        <f aca="false">IF(AND(F14="Fechado perdido",I14=""),"Falta motivo da perda",IF(OR(F14="Fechado ganho",F14="Fechado perdido"),"",IF(Painel!$B$3-H14&gt;7,"Sem contato há mais de 7 dias","OK")))</f>
        <v/>
      </c>
      <c r="N14" s="23" t="n">
        <f aca="false">MONTH(D14)</f>
        <v>6</v>
      </c>
    </row>
    <row r="15" customFormat="false" ht="15" hidden="false" customHeight="false" outlineLevel="0" collapsed="false">
      <c r="A15" s="19" t="s">
        <v>114</v>
      </c>
      <c r="B15" s="19" t="s">
        <v>115</v>
      </c>
      <c r="C15" s="19" t="s">
        <v>30</v>
      </c>
      <c r="D15" s="4" t="n">
        <v>46207</v>
      </c>
      <c r="E15" s="19" t="s">
        <v>88</v>
      </c>
      <c r="F15" s="19" t="s">
        <v>22</v>
      </c>
      <c r="G15" s="20" t="n">
        <v>21600</v>
      </c>
      <c r="H15" s="4" t="n">
        <v>46212</v>
      </c>
      <c r="I15" s="19"/>
      <c r="J15" s="21" t="n">
        <f aca="false">IFERROR(VLOOKUP(F15,Listas!$A$2:$B$6,2,FALSE()),0)</f>
        <v>1</v>
      </c>
      <c r="K15" s="22" t="n">
        <f aca="false">IF(OR(F15="Fechado ganho",F15="Fechado perdido"),0,G15*J15)</f>
        <v>0</v>
      </c>
      <c r="L15" s="23" t="str">
        <f aca="false">IF(OR(F15="Fechado ganho",F15="Fechado perdido"),"",Painel!$B$3-H15)</f>
        <v/>
      </c>
      <c r="M15" s="23" t="str">
        <f aca="false">IF(AND(F15="Fechado perdido",I15=""),"Falta motivo da perda",IF(OR(F15="Fechado ganho",F15="Fechado perdido"),"",IF(Painel!$B$3-H15&gt;7,"Sem contato há mais de 7 dias","OK")))</f>
        <v/>
      </c>
      <c r="N15" s="23" t="n">
        <f aca="false">MONTH(D15)</f>
        <v>7</v>
      </c>
    </row>
    <row r="16" customFormat="false" ht="15" hidden="false" customHeight="false" outlineLevel="0" collapsed="false">
      <c r="A16" s="19" t="s">
        <v>116</v>
      </c>
      <c r="B16" s="19" t="s">
        <v>117</v>
      </c>
      <c r="C16" s="19" t="s">
        <v>29</v>
      </c>
      <c r="D16" s="4" t="n">
        <v>46210</v>
      </c>
      <c r="E16" s="19" t="s">
        <v>88</v>
      </c>
      <c r="F16" s="19" t="s">
        <v>22</v>
      </c>
      <c r="G16" s="20" t="n">
        <v>20300</v>
      </c>
      <c r="H16" s="4" t="n">
        <v>46219</v>
      </c>
      <c r="I16" s="19"/>
      <c r="J16" s="21" t="n">
        <f aca="false">IFERROR(VLOOKUP(F16,Listas!$A$2:$B$6,2,FALSE()),0)</f>
        <v>1</v>
      </c>
      <c r="K16" s="22" t="n">
        <f aca="false">IF(OR(F16="Fechado ganho",F16="Fechado perdido"),0,G16*J16)</f>
        <v>0</v>
      </c>
      <c r="L16" s="23" t="str">
        <f aca="false">IF(OR(F16="Fechado ganho",F16="Fechado perdido"),"",Painel!$B$3-H16)</f>
        <v/>
      </c>
      <c r="M16" s="23" t="str">
        <f aca="false">IF(AND(F16="Fechado perdido",I16=""),"Falta motivo da perda",IF(OR(F16="Fechado ganho",F16="Fechado perdido"),"",IF(Painel!$B$3-H16&gt;7,"Sem contato há mais de 7 dias","OK")))</f>
        <v/>
      </c>
      <c r="N16" s="23" t="n">
        <f aca="false">MONTH(D16)</f>
        <v>7</v>
      </c>
    </row>
    <row r="17" customFormat="false" ht="15" hidden="false" customHeight="false" outlineLevel="0" collapsed="false">
      <c r="A17" s="19" t="s">
        <v>118</v>
      </c>
      <c r="B17" s="19" t="s">
        <v>119</v>
      </c>
      <c r="C17" s="19" t="s">
        <v>31</v>
      </c>
      <c r="D17" s="4" t="n">
        <v>46216</v>
      </c>
      <c r="E17" s="19" t="s">
        <v>88</v>
      </c>
      <c r="F17" s="19" t="s">
        <v>23</v>
      </c>
      <c r="G17" s="20" t="n">
        <v>4600</v>
      </c>
      <c r="H17" s="4" t="n">
        <v>46236</v>
      </c>
      <c r="I17" s="19" t="s">
        <v>109</v>
      </c>
      <c r="J17" s="21" t="n">
        <f aca="false">IFERROR(VLOOKUP(F17,Listas!$A$2:$B$6,2,FALSE()),0)</f>
        <v>0</v>
      </c>
      <c r="K17" s="22" t="n">
        <f aca="false">IF(OR(F17="Fechado ganho",F17="Fechado perdido"),0,G17*J17)</f>
        <v>0</v>
      </c>
      <c r="L17" s="23" t="str">
        <f aca="false">IF(OR(F17="Fechado ganho",F17="Fechado perdido"),"",Painel!$B$3-H17)</f>
        <v/>
      </c>
      <c r="M17" s="23" t="str">
        <f aca="false">IF(AND(F17="Fechado perdido",I17=""),"Falta motivo da perda",IF(OR(F17="Fechado ganho",F17="Fechado perdido"),"",IF(Painel!$B$3-H17&gt;7,"Sem contato há mais de 7 dias","OK")))</f>
        <v/>
      </c>
      <c r="N17" s="23" t="n">
        <f aca="false">MONTH(D17)</f>
        <v>7</v>
      </c>
    </row>
    <row r="18" customFormat="false" ht="15" hidden="false" customHeight="false" outlineLevel="0" collapsed="false">
      <c r="A18" s="19" t="s">
        <v>120</v>
      </c>
      <c r="B18" s="19" t="s">
        <v>121</v>
      </c>
      <c r="C18" s="19" t="s">
        <v>30</v>
      </c>
      <c r="D18" s="4" t="n">
        <v>46223</v>
      </c>
      <c r="E18" s="19" t="s">
        <v>91</v>
      </c>
      <c r="F18" s="19" t="s">
        <v>22</v>
      </c>
      <c r="G18" s="20" t="n">
        <v>13700</v>
      </c>
      <c r="H18" s="4" t="n">
        <v>46226</v>
      </c>
      <c r="I18" s="19"/>
      <c r="J18" s="21" t="n">
        <f aca="false">IFERROR(VLOOKUP(F18,Listas!$A$2:$B$6,2,FALSE()),0)</f>
        <v>1</v>
      </c>
      <c r="K18" s="22" t="n">
        <f aca="false">IF(OR(F18="Fechado ganho",F18="Fechado perdido"),0,G18*J18)</f>
        <v>0</v>
      </c>
      <c r="L18" s="23" t="str">
        <f aca="false">IF(OR(F18="Fechado ganho",F18="Fechado perdido"),"",Painel!$B$3-H18)</f>
        <v/>
      </c>
      <c r="M18" s="23" t="str">
        <f aca="false">IF(AND(F18="Fechado perdido",I18=""),"Falta motivo da perda",IF(OR(F18="Fechado ganho",F18="Fechado perdido"),"",IF(Painel!$B$3-H18&gt;7,"Sem contato há mais de 7 dias","OK")))</f>
        <v/>
      </c>
      <c r="N18" s="23" t="n">
        <f aca="false">MONTH(D18)</f>
        <v>7</v>
      </c>
    </row>
    <row r="19" customFormat="false" ht="15" hidden="false" customHeight="false" outlineLevel="0" collapsed="false">
      <c r="A19" s="19" t="s">
        <v>122</v>
      </c>
      <c r="B19" s="19" t="s">
        <v>123</v>
      </c>
      <c r="C19" s="19" t="s">
        <v>30</v>
      </c>
      <c r="D19" s="4" t="n">
        <v>46224</v>
      </c>
      <c r="E19" s="19" t="s">
        <v>91</v>
      </c>
      <c r="F19" s="19" t="s">
        <v>22</v>
      </c>
      <c r="G19" s="20" t="n">
        <v>22900</v>
      </c>
      <c r="H19" s="4" t="n">
        <v>46235</v>
      </c>
      <c r="I19" s="19"/>
      <c r="J19" s="21" t="n">
        <f aca="false">IFERROR(VLOOKUP(F19,Listas!$A$2:$B$6,2,FALSE()),0)</f>
        <v>1</v>
      </c>
      <c r="K19" s="22" t="n">
        <f aca="false">IF(OR(F19="Fechado ganho",F19="Fechado perdido"),0,G19*J19)</f>
        <v>0</v>
      </c>
      <c r="L19" s="23" t="str">
        <f aca="false">IF(OR(F19="Fechado ganho",F19="Fechado perdido"),"",Painel!$B$3-H19)</f>
        <v/>
      </c>
      <c r="M19" s="23" t="str">
        <f aca="false">IF(AND(F19="Fechado perdido",I19=""),"Falta motivo da perda",IF(OR(F19="Fechado ganho",F19="Fechado perdido"),"",IF(Painel!$B$3-H19&gt;7,"Sem contato há mais de 7 dias","OK")))</f>
        <v/>
      </c>
      <c r="N19" s="23" t="n">
        <f aca="false">MONTH(D19)</f>
        <v>7</v>
      </c>
    </row>
    <row r="20" customFormat="false" ht="15" hidden="false" customHeight="false" outlineLevel="0" collapsed="false">
      <c r="A20" s="19" t="s">
        <v>124</v>
      </c>
      <c r="B20" s="19" t="s">
        <v>125</v>
      </c>
      <c r="C20" s="19" t="s">
        <v>28</v>
      </c>
      <c r="D20" s="4" t="n">
        <v>46228</v>
      </c>
      <c r="E20" s="19" t="s">
        <v>88</v>
      </c>
      <c r="F20" s="19" t="s">
        <v>22</v>
      </c>
      <c r="G20" s="20" t="n">
        <v>9200</v>
      </c>
      <c r="H20" s="4" t="n">
        <v>46243</v>
      </c>
      <c r="I20" s="19"/>
      <c r="J20" s="21" t="n">
        <f aca="false">IFERROR(VLOOKUP(F20,Listas!$A$2:$B$6,2,FALSE()),0)</f>
        <v>1</v>
      </c>
      <c r="K20" s="22" t="n">
        <f aca="false">IF(OR(F20="Fechado ganho",F20="Fechado perdido"),0,G20*J20)</f>
        <v>0</v>
      </c>
      <c r="L20" s="23" t="str">
        <f aca="false">IF(OR(F20="Fechado ganho",F20="Fechado perdido"),"",Painel!$B$3-H20)</f>
        <v/>
      </c>
      <c r="M20" s="23" t="str">
        <f aca="false">IF(AND(F20="Fechado perdido",I20=""),"Falta motivo da perda",IF(OR(F20="Fechado ganho",F20="Fechado perdido"),"",IF(Painel!$B$3-H20&gt;7,"Sem contato há mais de 7 dias","OK")))</f>
        <v/>
      </c>
      <c r="N20" s="23" t="n">
        <f aca="false">MONTH(D20)</f>
        <v>7</v>
      </c>
    </row>
    <row r="21" customFormat="false" ht="15" hidden="false" customHeight="false" outlineLevel="0" collapsed="false">
      <c r="A21" s="19" t="s">
        <v>126</v>
      </c>
      <c r="B21" s="19" t="s">
        <v>127</v>
      </c>
      <c r="C21" s="19" t="s">
        <v>29</v>
      </c>
      <c r="D21" s="4" t="n">
        <v>46231</v>
      </c>
      <c r="E21" s="19" t="s">
        <v>88</v>
      </c>
      <c r="F21" s="19" t="s">
        <v>22</v>
      </c>
      <c r="G21" s="20" t="n">
        <v>9900</v>
      </c>
      <c r="H21" s="4" t="n">
        <v>46245</v>
      </c>
      <c r="I21" s="19"/>
      <c r="J21" s="21" t="n">
        <f aca="false">IFERROR(VLOOKUP(F21,Listas!$A$2:$B$6,2,FALSE()),0)</f>
        <v>1</v>
      </c>
      <c r="K21" s="22" t="n">
        <f aca="false">IF(OR(F21="Fechado ganho",F21="Fechado perdido"),0,G21*J21)</f>
        <v>0</v>
      </c>
      <c r="L21" s="23" t="str">
        <f aca="false">IF(OR(F21="Fechado ganho",F21="Fechado perdido"),"",Painel!$B$3-H21)</f>
        <v/>
      </c>
      <c r="M21" s="23" t="str">
        <f aca="false">IF(AND(F21="Fechado perdido",I21=""),"Falta motivo da perda",IF(OR(F21="Fechado ganho",F21="Fechado perdido"),"",IF(Painel!$B$3-H21&gt;7,"Sem contato há mais de 7 dias","OK")))</f>
        <v/>
      </c>
      <c r="N21" s="23" t="n">
        <f aca="false">MONTH(D21)</f>
        <v>7</v>
      </c>
    </row>
    <row r="22" customFormat="false" ht="15" hidden="false" customHeight="false" outlineLevel="0" collapsed="false">
      <c r="A22" s="19" t="s">
        <v>128</v>
      </c>
      <c r="B22" s="19" t="s">
        <v>129</v>
      </c>
      <c r="C22" s="19" t="s">
        <v>30</v>
      </c>
      <c r="D22" s="4" t="n">
        <v>46231</v>
      </c>
      <c r="E22" s="19" t="s">
        <v>91</v>
      </c>
      <c r="F22" s="19" t="s">
        <v>20</v>
      </c>
      <c r="G22" s="20" t="n">
        <v>7600</v>
      </c>
      <c r="H22" s="4" t="n">
        <v>46306</v>
      </c>
      <c r="I22" s="19"/>
      <c r="J22" s="21" t="n">
        <f aca="false">IFERROR(VLOOKUP(F22,Listas!$A$2:$B$6,2,FALSE()),0)</f>
        <v>0.4</v>
      </c>
      <c r="K22" s="22" t="n">
        <f aca="false">IF(OR(F22="Fechado ganho",F22="Fechado perdido"),0,G22*J22)</f>
        <v>3040</v>
      </c>
      <c r="L22" s="23" t="n">
        <f aca="false">IF(OR(F22="Fechado ganho",F22="Fechado perdido"),"",Painel!$B$3-H22)</f>
        <v>4</v>
      </c>
      <c r="M22" s="23" t="str">
        <f aca="false">IF(AND(F22="Fechado perdido",I22=""),"Falta motivo da perda",IF(OR(F22="Fechado ganho",F22="Fechado perdido"),"",IF(Painel!$B$3-H22&gt;7,"Sem contato há mais de 7 dias","OK")))</f>
        <v>OK</v>
      </c>
      <c r="N22" s="23" t="n">
        <f aca="false">MONTH(D22)</f>
        <v>7</v>
      </c>
    </row>
    <row r="23" customFormat="false" ht="15" hidden="false" customHeight="false" outlineLevel="0" collapsed="false">
      <c r="A23" s="19" t="s">
        <v>130</v>
      </c>
      <c r="B23" s="19" t="s">
        <v>131</v>
      </c>
      <c r="C23" s="19" t="s">
        <v>28</v>
      </c>
      <c r="D23" s="4" t="n">
        <v>46236</v>
      </c>
      <c r="E23" s="19" t="s">
        <v>88</v>
      </c>
      <c r="F23" s="19" t="s">
        <v>23</v>
      </c>
      <c r="G23" s="20" t="n">
        <v>18800</v>
      </c>
      <c r="H23" s="4" t="n">
        <v>46254</v>
      </c>
      <c r="I23" s="19" t="s">
        <v>132</v>
      </c>
      <c r="J23" s="21" t="n">
        <f aca="false">IFERROR(VLOOKUP(F23,Listas!$A$2:$B$6,2,FALSE()),0)</f>
        <v>0</v>
      </c>
      <c r="K23" s="22" t="n">
        <f aca="false">IF(OR(F23="Fechado ganho",F23="Fechado perdido"),0,G23*J23)</f>
        <v>0</v>
      </c>
      <c r="L23" s="23" t="str">
        <f aca="false">IF(OR(F23="Fechado ganho",F23="Fechado perdido"),"",Painel!$B$3-H23)</f>
        <v/>
      </c>
      <c r="M23" s="23" t="str">
        <f aca="false">IF(AND(F23="Fechado perdido",I23=""),"Falta motivo da perda",IF(OR(F23="Fechado ganho",F23="Fechado perdido"),"",IF(Painel!$B$3-H23&gt;7,"Sem contato há mais de 7 dias","OK")))</f>
        <v/>
      </c>
      <c r="N23" s="23" t="n">
        <f aca="false">MONTH(D23)</f>
        <v>8</v>
      </c>
    </row>
    <row r="24" customFormat="false" ht="15" hidden="false" customHeight="false" outlineLevel="0" collapsed="false">
      <c r="A24" s="19" t="s">
        <v>133</v>
      </c>
      <c r="B24" s="19" t="s">
        <v>134</v>
      </c>
      <c r="C24" s="19" t="s">
        <v>29</v>
      </c>
      <c r="D24" s="4" t="n">
        <v>46237</v>
      </c>
      <c r="E24" s="19" t="s">
        <v>88</v>
      </c>
      <c r="F24" s="19" t="s">
        <v>19</v>
      </c>
      <c r="G24" s="20" t="n">
        <v>7500</v>
      </c>
      <c r="H24" s="4" t="n">
        <v>46298</v>
      </c>
      <c r="I24" s="19"/>
      <c r="J24" s="21" t="n">
        <f aca="false">IFERROR(VLOOKUP(F24,Listas!$A$2:$B$6,2,FALSE()),0)</f>
        <v>0.1</v>
      </c>
      <c r="K24" s="22" t="n">
        <f aca="false">IF(OR(F24="Fechado ganho",F24="Fechado perdido"),0,G24*J24)</f>
        <v>750</v>
      </c>
      <c r="L24" s="23" t="n">
        <f aca="false">IF(OR(F24="Fechado ganho",F24="Fechado perdido"),"",Painel!$B$3-H24)</f>
        <v>12</v>
      </c>
      <c r="M24" s="23" t="str">
        <f aca="false">IF(AND(F24="Fechado perdido",I24=""),"Falta motivo da perda",IF(OR(F24="Fechado ganho",F24="Fechado perdido"),"",IF(Painel!$B$3-H24&gt;7,"Sem contato há mais de 7 dias","OK")))</f>
        <v>Sem contato há mais de 7 dias</v>
      </c>
      <c r="N24" s="23" t="n">
        <f aca="false">MONTH(D24)</f>
        <v>8</v>
      </c>
    </row>
    <row r="25" customFormat="false" ht="15" hidden="false" customHeight="false" outlineLevel="0" collapsed="false">
      <c r="A25" s="19" t="s">
        <v>135</v>
      </c>
      <c r="B25" s="19" t="s">
        <v>136</v>
      </c>
      <c r="C25" s="19" t="s">
        <v>29</v>
      </c>
      <c r="D25" s="4" t="n">
        <v>46237</v>
      </c>
      <c r="E25" s="19" t="s">
        <v>91</v>
      </c>
      <c r="F25" s="19" t="s">
        <v>22</v>
      </c>
      <c r="G25" s="20" t="n">
        <v>21500</v>
      </c>
      <c r="H25" s="4" t="n">
        <v>46246</v>
      </c>
      <c r="I25" s="19"/>
      <c r="J25" s="21" t="n">
        <f aca="false">IFERROR(VLOOKUP(F25,Listas!$A$2:$B$6,2,FALSE()),0)</f>
        <v>1</v>
      </c>
      <c r="K25" s="22" t="n">
        <f aca="false">IF(OR(F25="Fechado ganho",F25="Fechado perdido"),0,G25*J25)</f>
        <v>0</v>
      </c>
      <c r="L25" s="23" t="str">
        <f aca="false">IF(OR(F25="Fechado ganho",F25="Fechado perdido"),"",Painel!$B$3-H25)</f>
        <v/>
      </c>
      <c r="M25" s="23" t="str">
        <f aca="false">IF(AND(F25="Fechado perdido",I25=""),"Falta motivo da perda",IF(OR(F25="Fechado ganho",F25="Fechado perdido"),"",IF(Painel!$B$3-H25&gt;7,"Sem contato há mais de 7 dias","OK")))</f>
        <v/>
      </c>
      <c r="N25" s="23" t="n">
        <f aca="false">MONTH(D25)</f>
        <v>8</v>
      </c>
    </row>
    <row r="26" customFormat="false" ht="15" hidden="false" customHeight="false" outlineLevel="0" collapsed="false">
      <c r="A26" s="19" t="s">
        <v>137</v>
      </c>
      <c r="B26" s="19" t="s">
        <v>138</v>
      </c>
      <c r="C26" s="19" t="s">
        <v>31</v>
      </c>
      <c r="D26" s="4" t="n">
        <v>46239</v>
      </c>
      <c r="E26" s="19" t="s">
        <v>88</v>
      </c>
      <c r="F26" s="19" t="s">
        <v>23</v>
      </c>
      <c r="G26" s="20" t="n">
        <v>13600</v>
      </c>
      <c r="H26" s="4" t="n">
        <v>46252</v>
      </c>
      <c r="I26" s="19" t="s">
        <v>109</v>
      </c>
      <c r="J26" s="21" t="n">
        <f aca="false">IFERROR(VLOOKUP(F26,Listas!$A$2:$B$6,2,FALSE()),0)</f>
        <v>0</v>
      </c>
      <c r="K26" s="22" t="n">
        <f aca="false">IF(OR(F26="Fechado ganho",F26="Fechado perdido"),0,G26*J26)</f>
        <v>0</v>
      </c>
      <c r="L26" s="23" t="str">
        <f aca="false">IF(OR(F26="Fechado ganho",F26="Fechado perdido"),"",Painel!$B$3-H26)</f>
        <v/>
      </c>
      <c r="M26" s="23" t="str">
        <f aca="false">IF(AND(F26="Fechado perdido",I26=""),"Falta motivo da perda",IF(OR(F26="Fechado ganho",F26="Fechado perdido"),"",IF(Painel!$B$3-H26&gt;7,"Sem contato há mais de 7 dias","OK")))</f>
        <v/>
      </c>
      <c r="N26" s="23" t="n">
        <f aca="false">MONTH(D26)</f>
        <v>8</v>
      </c>
    </row>
    <row r="27" customFormat="false" ht="15" hidden="false" customHeight="false" outlineLevel="0" collapsed="false">
      <c r="A27" s="19" t="s">
        <v>139</v>
      </c>
      <c r="B27" s="19" t="s">
        <v>140</v>
      </c>
      <c r="C27" s="19" t="s">
        <v>31</v>
      </c>
      <c r="D27" s="4" t="n">
        <v>46239</v>
      </c>
      <c r="E27" s="19" t="s">
        <v>91</v>
      </c>
      <c r="F27" s="19" t="s">
        <v>23</v>
      </c>
      <c r="G27" s="20" t="n">
        <v>7500</v>
      </c>
      <c r="H27" s="4" t="n">
        <v>46242</v>
      </c>
      <c r="I27" s="19" t="s">
        <v>141</v>
      </c>
      <c r="J27" s="21" t="n">
        <f aca="false">IFERROR(VLOOKUP(F27,Listas!$A$2:$B$6,2,FALSE()),0)</f>
        <v>0</v>
      </c>
      <c r="K27" s="22" t="n">
        <f aca="false">IF(OR(F27="Fechado ganho",F27="Fechado perdido"),0,G27*J27)</f>
        <v>0</v>
      </c>
      <c r="L27" s="23" t="str">
        <f aca="false">IF(OR(F27="Fechado ganho",F27="Fechado perdido"),"",Painel!$B$3-H27)</f>
        <v/>
      </c>
      <c r="M27" s="23" t="str">
        <f aca="false">IF(AND(F27="Fechado perdido",I27=""),"Falta motivo da perda",IF(OR(F27="Fechado ganho",F27="Fechado perdido"),"",IF(Painel!$B$3-H27&gt;7,"Sem contato há mais de 7 dias","OK")))</f>
        <v/>
      </c>
      <c r="N27" s="23" t="n">
        <f aca="false">MONTH(D27)</f>
        <v>8</v>
      </c>
    </row>
    <row r="28" customFormat="false" ht="15" hidden="false" customHeight="false" outlineLevel="0" collapsed="false">
      <c r="A28" s="19" t="s">
        <v>142</v>
      </c>
      <c r="B28" s="19" t="s">
        <v>143</v>
      </c>
      <c r="C28" s="19" t="s">
        <v>29</v>
      </c>
      <c r="D28" s="4" t="n">
        <v>46239</v>
      </c>
      <c r="E28" s="19" t="s">
        <v>91</v>
      </c>
      <c r="F28" s="19" t="s">
        <v>21</v>
      </c>
      <c r="G28" s="20" t="n">
        <v>16500</v>
      </c>
      <c r="H28" s="4" t="n">
        <v>46308</v>
      </c>
      <c r="I28" s="19"/>
      <c r="J28" s="21" t="n">
        <f aca="false">IFERROR(VLOOKUP(F28,Listas!$A$2:$B$6,2,FALSE()),0)</f>
        <v>0.7</v>
      </c>
      <c r="K28" s="22" t="n">
        <f aca="false">IF(OR(F28="Fechado ganho",F28="Fechado perdido"),0,G28*J28)</f>
        <v>11550</v>
      </c>
      <c r="L28" s="23" t="n">
        <f aca="false">IF(OR(F28="Fechado ganho",F28="Fechado perdido"),"",Painel!$B$3-H28)</f>
        <v>2</v>
      </c>
      <c r="M28" s="23" t="str">
        <f aca="false">IF(AND(F28="Fechado perdido",I28=""),"Falta motivo da perda",IF(OR(F28="Fechado ganho",F28="Fechado perdido"),"",IF(Painel!$B$3-H28&gt;7,"Sem contato há mais de 7 dias","OK")))</f>
        <v>OK</v>
      </c>
      <c r="N28" s="23" t="n">
        <f aca="false">MONTH(D28)</f>
        <v>8</v>
      </c>
    </row>
    <row r="29" customFormat="false" ht="15" hidden="false" customHeight="false" outlineLevel="0" collapsed="false">
      <c r="A29" s="19" t="s">
        <v>144</v>
      </c>
      <c r="B29" s="19" t="s">
        <v>145</v>
      </c>
      <c r="C29" s="19" t="s">
        <v>30</v>
      </c>
      <c r="D29" s="4" t="n">
        <v>46241</v>
      </c>
      <c r="E29" s="19" t="s">
        <v>91</v>
      </c>
      <c r="F29" s="19" t="s">
        <v>19</v>
      </c>
      <c r="G29" s="20" t="n">
        <v>23800</v>
      </c>
      <c r="H29" s="4" t="n">
        <v>46304</v>
      </c>
      <c r="I29" s="19"/>
      <c r="J29" s="21" t="n">
        <f aca="false">IFERROR(VLOOKUP(F29,Listas!$A$2:$B$6,2,FALSE()),0)</f>
        <v>0.1</v>
      </c>
      <c r="K29" s="22" t="n">
        <f aca="false">IF(OR(F29="Fechado ganho",F29="Fechado perdido"),0,G29*J29)</f>
        <v>2380</v>
      </c>
      <c r="L29" s="23" t="n">
        <f aca="false">IF(OR(F29="Fechado ganho",F29="Fechado perdido"),"",Painel!$B$3-H29)</f>
        <v>6</v>
      </c>
      <c r="M29" s="23" t="str">
        <f aca="false">IF(AND(F29="Fechado perdido",I29=""),"Falta motivo da perda",IF(OR(F29="Fechado ganho",F29="Fechado perdido"),"",IF(Painel!$B$3-H29&gt;7,"Sem contato há mais de 7 dias","OK")))</f>
        <v>OK</v>
      </c>
      <c r="N29" s="23" t="n">
        <f aca="false">MONTH(D29)</f>
        <v>8</v>
      </c>
    </row>
    <row r="30" customFormat="false" ht="15" hidden="false" customHeight="false" outlineLevel="0" collapsed="false">
      <c r="A30" s="19" t="s">
        <v>146</v>
      </c>
      <c r="B30" s="19" t="s">
        <v>147</v>
      </c>
      <c r="C30" s="19" t="s">
        <v>29</v>
      </c>
      <c r="D30" s="4" t="n">
        <v>46245</v>
      </c>
      <c r="E30" s="19" t="s">
        <v>88</v>
      </c>
      <c r="F30" s="19" t="s">
        <v>20</v>
      </c>
      <c r="G30" s="20" t="n">
        <v>9300</v>
      </c>
      <c r="H30" s="4" t="n">
        <v>46304</v>
      </c>
      <c r="I30" s="19"/>
      <c r="J30" s="21" t="n">
        <f aca="false">IFERROR(VLOOKUP(F30,Listas!$A$2:$B$6,2,FALSE()),0)</f>
        <v>0.4</v>
      </c>
      <c r="K30" s="22" t="n">
        <f aca="false">IF(OR(F30="Fechado ganho",F30="Fechado perdido"),0,G30*J30)</f>
        <v>3720</v>
      </c>
      <c r="L30" s="23" t="n">
        <f aca="false">IF(OR(F30="Fechado ganho",F30="Fechado perdido"),"",Painel!$B$3-H30)</f>
        <v>6</v>
      </c>
      <c r="M30" s="23" t="str">
        <f aca="false">IF(AND(F30="Fechado perdido",I30=""),"Falta motivo da perda",IF(OR(F30="Fechado ganho",F30="Fechado perdido"),"",IF(Painel!$B$3-H30&gt;7,"Sem contato há mais de 7 dias","OK")))</f>
        <v>OK</v>
      </c>
      <c r="N30" s="23" t="n">
        <f aca="false">MONTH(D30)</f>
        <v>8</v>
      </c>
    </row>
    <row r="31" customFormat="false" ht="15" hidden="false" customHeight="false" outlineLevel="0" collapsed="false">
      <c r="A31" s="19" t="s">
        <v>148</v>
      </c>
      <c r="B31" s="19" t="s">
        <v>149</v>
      </c>
      <c r="C31" s="19" t="s">
        <v>29</v>
      </c>
      <c r="D31" s="4" t="n">
        <v>46246</v>
      </c>
      <c r="E31" s="19" t="s">
        <v>91</v>
      </c>
      <c r="F31" s="19" t="s">
        <v>22</v>
      </c>
      <c r="G31" s="20" t="n">
        <v>12400</v>
      </c>
      <c r="H31" s="4" t="n">
        <v>46265</v>
      </c>
      <c r="I31" s="19"/>
      <c r="J31" s="21" t="n">
        <f aca="false">IFERROR(VLOOKUP(F31,Listas!$A$2:$B$6,2,FALSE()),0)</f>
        <v>1</v>
      </c>
      <c r="K31" s="22" t="n">
        <f aca="false">IF(OR(F31="Fechado ganho",F31="Fechado perdido"),0,G31*J31)</f>
        <v>0</v>
      </c>
      <c r="L31" s="23" t="str">
        <f aca="false">IF(OR(F31="Fechado ganho",F31="Fechado perdido"),"",Painel!$B$3-H31)</f>
        <v/>
      </c>
      <c r="M31" s="23" t="str">
        <f aca="false">IF(AND(F31="Fechado perdido",I31=""),"Falta motivo da perda",IF(OR(F31="Fechado ganho",F31="Fechado perdido"),"",IF(Painel!$B$3-H31&gt;7,"Sem contato há mais de 7 dias","OK")))</f>
        <v/>
      </c>
      <c r="N31" s="23" t="n">
        <f aca="false">MONTH(D31)</f>
        <v>8</v>
      </c>
    </row>
    <row r="32" customFormat="false" ht="15" hidden="false" customHeight="false" outlineLevel="0" collapsed="false">
      <c r="A32" s="19" t="s">
        <v>150</v>
      </c>
      <c r="B32" s="19" t="s">
        <v>151</v>
      </c>
      <c r="C32" s="19" t="s">
        <v>30</v>
      </c>
      <c r="D32" s="4" t="n">
        <v>46252</v>
      </c>
      <c r="E32" s="19" t="s">
        <v>91</v>
      </c>
      <c r="F32" s="19" t="s">
        <v>20</v>
      </c>
      <c r="G32" s="20" t="n">
        <v>22400</v>
      </c>
      <c r="H32" s="4" t="n">
        <v>46308</v>
      </c>
      <c r="I32" s="19"/>
      <c r="J32" s="21" t="n">
        <f aca="false">IFERROR(VLOOKUP(F32,Listas!$A$2:$B$6,2,FALSE()),0)</f>
        <v>0.4</v>
      </c>
      <c r="K32" s="22" t="n">
        <f aca="false">IF(OR(F32="Fechado ganho",F32="Fechado perdido"),0,G32*J32)</f>
        <v>8960</v>
      </c>
      <c r="L32" s="23" t="n">
        <f aca="false">IF(OR(F32="Fechado ganho",F32="Fechado perdido"),"",Painel!$B$3-H32)</f>
        <v>2</v>
      </c>
      <c r="M32" s="23" t="str">
        <f aca="false">IF(AND(F32="Fechado perdido",I32=""),"Falta motivo da perda",IF(OR(F32="Fechado ganho",F32="Fechado perdido"),"",IF(Painel!$B$3-H32&gt;7,"Sem contato há mais de 7 dias","OK")))</f>
        <v>OK</v>
      </c>
      <c r="N32" s="23" t="n">
        <f aca="false">MONTH(D32)</f>
        <v>8</v>
      </c>
    </row>
    <row r="33" customFormat="false" ht="15" hidden="false" customHeight="false" outlineLevel="0" collapsed="false">
      <c r="A33" s="19" t="s">
        <v>152</v>
      </c>
      <c r="B33" s="19" t="s">
        <v>153</v>
      </c>
      <c r="C33" s="19" t="s">
        <v>31</v>
      </c>
      <c r="D33" s="4" t="n">
        <v>46253</v>
      </c>
      <c r="E33" s="19" t="s">
        <v>91</v>
      </c>
      <c r="F33" s="19" t="s">
        <v>23</v>
      </c>
      <c r="G33" s="20" t="n">
        <v>11500</v>
      </c>
      <c r="H33" s="4" t="n">
        <v>46256</v>
      </c>
      <c r="I33" s="19" t="s">
        <v>141</v>
      </c>
      <c r="J33" s="21" t="n">
        <f aca="false">IFERROR(VLOOKUP(F33,Listas!$A$2:$B$6,2,FALSE()),0)</f>
        <v>0</v>
      </c>
      <c r="K33" s="22" t="n">
        <f aca="false">IF(OR(F33="Fechado ganho",F33="Fechado perdido"),0,G33*J33)</f>
        <v>0</v>
      </c>
      <c r="L33" s="23" t="str">
        <f aca="false">IF(OR(F33="Fechado ganho",F33="Fechado perdido"),"",Painel!$B$3-H33)</f>
        <v/>
      </c>
      <c r="M33" s="23" t="str">
        <f aca="false">IF(AND(F33="Fechado perdido",I33=""),"Falta motivo da perda",IF(OR(F33="Fechado ganho",F33="Fechado perdido"),"",IF(Painel!$B$3-H33&gt;7,"Sem contato há mais de 7 dias","OK")))</f>
        <v/>
      </c>
      <c r="N33" s="23" t="n">
        <f aca="false">MONTH(D33)</f>
        <v>8</v>
      </c>
    </row>
    <row r="34" customFormat="false" ht="15" hidden="false" customHeight="false" outlineLevel="0" collapsed="false">
      <c r="A34" s="19" t="s">
        <v>154</v>
      </c>
      <c r="B34" s="19" t="s">
        <v>155</v>
      </c>
      <c r="C34" s="19" t="s">
        <v>28</v>
      </c>
      <c r="D34" s="4" t="n">
        <v>46253</v>
      </c>
      <c r="E34" s="19" t="s">
        <v>91</v>
      </c>
      <c r="F34" s="19" t="s">
        <v>22</v>
      </c>
      <c r="G34" s="20" t="n">
        <v>11100</v>
      </c>
      <c r="H34" s="4" t="n">
        <v>46260</v>
      </c>
      <c r="I34" s="19"/>
      <c r="J34" s="21" t="n">
        <f aca="false">IFERROR(VLOOKUP(F34,Listas!$A$2:$B$6,2,FALSE()),0)</f>
        <v>1</v>
      </c>
      <c r="K34" s="22" t="n">
        <f aca="false">IF(OR(F34="Fechado ganho",F34="Fechado perdido"),0,G34*J34)</f>
        <v>0</v>
      </c>
      <c r="L34" s="23" t="str">
        <f aca="false">IF(OR(F34="Fechado ganho",F34="Fechado perdido"),"",Painel!$B$3-H34)</f>
        <v/>
      </c>
      <c r="M34" s="23" t="str">
        <f aca="false">IF(AND(F34="Fechado perdido",I34=""),"Falta motivo da perda",IF(OR(F34="Fechado ganho",F34="Fechado perdido"),"",IF(Painel!$B$3-H34&gt;7,"Sem contato há mais de 7 dias","OK")))</f>
        <v/>
      </c>
      <c r="N34" s="23" t="n">
        <f aca="false">MONTH(D34)</f>
        <v>8</v>
      </c>
    </row>
    <row r="35" customFormat="false" ht="15" hidden="false" customHeight="false" outlineLevel="0" collapsed="false">
      <c r="A35" s="19" t="s">
        <v>156</v>
      </c>
      <c r="B35" s="19" t="s">
        <v>157</v>
      </c>
      <c r="C35" s="19" t="s">
        <v>30</v>
      </c>
      <c r="D35" s="4" t="n">
        <v>46256</v>
      </c>
      <c r="E35" s="19" t="s">
        <v>91</v>
      </c>
      <c r="F35" s="19" t="s">
        <v>22</v>
      </c>
      <c r="G35" s="20" t="n">
        <v>9700</v>
      </c>
      <c r="H35" s="4" t="n">
        <v>46259</v>
      </c>
      <c r="I35" s="19"/>
      <c r="J35" s="21" t="n">
        <f aca="false">IFERROR(VLOOKUP(F35,Listas!$A$2:$B$6,2,FALSE()),0)</f>
        <v>1</v>
      </c>
      <c r="K35" s="22" t="n">
        <f aca="false">IF(OR(F35="Fechado ganho",F35="Fechado perdido"),0,G35*J35)</f>
        <v>0</v>
      </c>
      <c r="L35" s="23" t="str">
        <f aca="false">IF(OR(F35="Fechado ganho",F35="Fechado perdido"),"",Painel!$B$3-H35)</f>
        <v/>
      </c>
      <c r="M35" s="23" t="str">
        <f aca="false">IF(AND(F35="Fechado perdido",I35=""),"Falta motivo da perda",IF(OR(F35="Fechado ganho",F35="Fechado perdido"),"",IF(Painel!$B$3-H35&gt;7,"Sem contato há mais de 7 dias","OK")))</f>
        <v/>
      </c>
      <c r="N35" s="23" t="n">
        <f aca="false">MONTH(D35)</f>
        <v>8</v>
      </c>
    </row>
    <row r="36" customFormat="false" ht="15" hidden="false" customHeight="false" outlineLevel="0" collapsed="false">
      <c r="A36" s="19" t="s">
        <v>158</v>
      </c>
      <c r="B36" s="19" t="s">
        <v>159</v>
      </c>
      <c r="C36" s="19" t="s">
        <v>29</v>
      </c>
      <c r="D36" s="4" t="n">
        <v>46259</v>
      </c>
      <c r="E36" s="19" t="s">
        <v>88</v>
      </c>
      <c r="F36" s="19" t="s">
        <v>20</v>
      </c>
      <c r="G36" s="20" t="n">
        <v>5200</v>
      </c>
      <c r="H36" s="4" t="n">
        <v>46305</v>
      </c>
      <c r="I36" s="19"/>
      <c r="J36" s="21" t="n">
        <f aca="false">IFERROR(VLOOKUP(F36,Listas!$A$2:$B$6,2,FALSE()),0)</f>
        <v>0.4</v>
      </c>
      <c r="K36" s="22" t="n">
        <f aca="false">IF(OR(F36="Fechado ganho",F36="Fechado perdido"),0,G36*J36)</f>
        <v>2080</v>
      </c>
      <c r="L36" s="23" t="n">
        <f aca="false">IF(OR(F36="Fechado ganho",F36="Fechado perdido"),"",Painel!$B$3-H36)</f>
        <v>5</v>
      </c>
      <c r="M36" s="23" t="str">
        <f aca="false">IF(AND(F36="Fechado perdido",I36=""),"Falta motivo da perda",IF(OR(F36="Fechado ganho",F36="Fechado perdido"),"",IF(Painel!$B$3-H36&gt;7,"Sem contato há mais de 7 dias","OK")))</f>
        <v>OK</v>
      </c>
      <c r="N36" s="23" t="n">
        <f aca="false">MONTH(D36)</f>
        <v>8</v>
      </c>
    </row>
    <row r="37" customFormat="false" ht="15" hidden="false" customHeight="false" outlineLevel="0" collapsed="false">
      <c r="A37" s="19" t="s">
        <v>160</v>
      </c>
      <c r="B37" s="19" t="s">
        <v>161</v>
      </c>
      <c r="C37" s="19" t="s">
        <v>28</v>
      </c>
      <c r="D37" s="4" t="n">
        <v>46260</v>
      </c>
      <c r="E37" s="19" t="s">
        <v>91</v>
      </c>
      <c r="F37" s="19" t="s">
        <v>19</v>
      </c>
      <c r="G37" s="20" t="n">
        <v>3100</v>
      </c>
      <c r="H37" s="4" t="n">
        <v>46300</v>
      </c>
      <c r="I37" s="19"/>
      <c r="J37" s="21" t="n">
        <f aca="false">IFERROR(VLOOKUP(F37,Listas!$A$2:$B$6,2,FALSE()),0)</f>
        <v>0.1</v>
      </c>
      <c r="K37" s="22" t="n">
        <f aca="false">IF(OR(F37="Fechado ganho",F37="Fechado perdido"),0,G37*J37)</f>
        <v>310</v>
      </c>
      <c r="L37" s="23" t="n">
        <f aca="false">IF(OR(F37="Fechado ganho",F37="Fechado perdido"),"",Painel!$B$3-H37)</f>
        <v>10</v>
      </c>
      <c r="M37" s="23" t="str">
        <f aca="false">IF(AND(F37="Fechado perdido",I37=""),"Falta motivo da perda",IF(OR(F37="Fechado ganho",F37="Fechado perdido"),"",IF(Painel!$B$3-H37&gt;7,"Sem contato há mais de 7 dias","OK")))</f>
        <v>Sem contato há mais de 7 dias</v>
      </c>
      <c r="N37" s="23" t="n">
        <f aca="false">MONTH(D37)</f>
        <v>8</v>
      </c>
    </row>
    <row r="38" customFormat="false" ht="15" hidden="false" customHeight="false" outlineLevel="0" collapsed="false">
      <c r="A38" s="19" t="s">
        <v>162</v>
      </c>
      <c r="B38" s="19" t="s">
        <v>163</v>
      </c>
      <c r="C38" s="19" t="s">
        <v>28</v>
      </c>
      <c r="D38" s="4" t="n">
        <v>46264</v>
      </c>
      <c r="E38" s="19" t="s">
        <v>88</v>
      </c>
      <c r="F38" s="19" t="s">
        <v>22</v>
      </c>
      <c r="G38" s="20" t="n">
        <v>5100</v>
      </c>
      <c r="H38" s="4" t="n">
        <v>46282</v>
      </c>
      <c r="I38" s="19"/>
      <c r="J38" s="21" t="n">
        <f aca="false">IFERROR(VLOOKUP(F38,Listas!$A$2:$B$6,2,FALSE()),0)</f>
        <v>1</v>
      </c>
      <c r="K38" s="22" t="n">
        <f aca="false">IF(OR(F38="Fechado ganho",F38="Fechado perdido"),0,G38*J38)</f>
        <v>0</v>
      </c>
      <c r="L38" s="23" t="str">
        <f aca="false">IF(OR(F38="Fechado ganho",F38="Fechado perdido"),"",Painel!$B$3-H38)</f>
        <v/>
      </c>
      <c r="M38" s="23" t="str">
        <f aca="false">IF(AND(F38="Fechado perdido",I38=""),"Falta motivo da perda",IF(OR(F38="Fechado ganho",F38="Fechado perdido"),"",IF(Painel!$B$3-H38&gt;7,"Sem contato há mais de 7 dias","OK")))</f>
        <v/>
      </c>
      <c r="N38" s="23" t="n">
        <f aca="false">MONTH(D38)</f>
        <v>8</v>
      </c>
    </row>
    <row r="39" customFormat="false" ht="15" hidden="false" customHeight="false" outlineLevel="0" collapsed="false">
      <c r="A39" s="19" t="s">
        <v>164</v>
      </c>
      <c r="B39" s="19" t="s">
        <v>165</v>
      </c>
      <c r="C39" s="19" t="s">
        <v>30</v>
      </c>
      <c r="D39" s="4" t="n">
        <v>46266</v>
      </c>
      <c r="E39" s="19" t="s">
        <v>88</v>
      </c>
      <c r="F39" s="19" t="s">
        <v>21</v>
      </c>
      <c r="G39" s="20" t="n">
        <v>22700</v>
      </c>
      <c r="H39" s="4" t="n">
        <v>46300</v>
      </c>
      <c r="I39" s="19"/>
      <c r="J39" s="21" t="n">
        <f aca="false">IFERROR(VLOOKUP(F39,Listas!$A$2:$B$6,2,FALSE()),0)</f>
        <v>0.7</v>
      </c>
      <c r="K39" s="22" t="n">
        <f aca="false">IF(OR(F39="Fechado ganho",F39="Fechado perdido"),0,G39*J39)</f>
        <v>15890</v>
      </c>
      <c r="L39" s="23" t="n">
        <f aca="false">IF(OR(F39="Fechado ganho",F39="Fechado perdido"),"",Painel!$B$3-H39)</f>
        <v>10</v>
      </c>
      <c r="M39" s="23" t="str">
        <f aca="false">IF(AND(F39="Fechado perdido",I39=""),"Falta motivo da perda",IF(OR(F39="Fechado ganho",F39="Fechado perdido"),"",IF(Painel!$B$3-H39&gt;7,"Sem contato há mais de 7 dias","OK")))</f>
        <v>Sem contato há mais de 7 dias</v>
      </c>
      <c r="N39" s="23" t="n">
        <f aca="false">MONTH(D39)</f>
        <v>9</v>
      </c>
    </row>
    <row r="40" customFormat="false" ht="15" hidden="false" customHeight="false" outlineLevel="0" collapsed="false">
      <c r="A40" s="19" t="s">
        <v>166</v>
      </c>
      <c r="B40" s="19" t="s">
        <v>167</v>
      </c>
      <c r="C40" s="19" t="s">
        <v>30</v>
      </c>
      <c r="D40" s="4" t="n">
        <v>46266</v>
      </c>
      <c r="E40" s="19" t="s">
        <v>91</v>
      </c>
      <c r="F40" s="19" t="s">
        <v>23</v>
      </c>
      <c r="G40" s="20" t="n">
        <v>6500</v>
      </c>
      <c r="H40" s="4" t="n">
        <v>46283</v>
      </c>
      <c r="I40" s="19" t="s">
        <v>132</v>
      </c>
      <c r="J40" s="21" t="n">
        <f aca="false">IFERROR(VLOOKUP(F40,Listas!$A$2:$B$6,2,FALSE()),0)</f>
        <v>0</v>
      </c>
      <c r="K40" s="22" t="n">
        <f aca="false">IF(OR(F40="Fechado ganho",F40="Fechado perdido"),0,G40*J40)</f>
        <v>0</v>
      </c>
      <c r="L40" s="23" t="str">
        <f aca="false">IF(OR(F40="Fechado ganho",F40="Fechado perdido"),"",Painel!$B$3-H40)</f>
        <v/>
      </c>
      <c r="M40" s="23" t="str">
        <f aca="false">IF(AND(F40="Fechado perdido",I40=""),"Falta motivo da perda",IF(OR(F40="Fechado ganho",F40="Fechado perdido"),"",IF(Painel!$B$3-H40&gt;7,"Sem contato há mais de 7 dias","OK")))</f>
        <v/>
      </c>
      <c r="N40" s="23" t="n">
        <f aca="false">MONTH(D40)</f>
        <v>9</v>
      </c>
    </row>
    <row r="41" customFormat="false" ht="15" hidden="false" customHeight="false" outlineLevel="0" collapsed="false">
      <c r="A41" s="19" t="s">
        <v>168</v>
      </c>
      <c r="B41" s="19" t="s">
        <v>169</v>
      </c>
      <c r="C41" s="19" t="s">
        <v>31</v>
      </c>
      <c r="D41" s="4" t="n">
        <v>46267</v>
      </c>
      <c r="E41" s="19" t="s">
        <v>88</v>
      </c>
      <c r="F41" s="19" t="s">
        <v>19</v>
      </c>
      <c r="G41" s="20" t="n">
        <v>15700</v>
      </c>
      <c r="H41" s="4" t="n">
        <v>46308</v>
      </c>
      <c r="I41" s="19"/>
      <c r="J41" s="21" t="n">
        <f aca="false">IFERROR(VLOOKUP(F41,Listas!$A$2:$B$6,2,FALSE()),0)</f>
        <v>0.1</v>
      </c>
      <c r="K41" s="22" t="n">
        <f aca="false">IF(OR(F41="Fechado ganho",F41="Fechado perdido"),0,G41*J41)</f>
        <v>1570</v>
      </c>
      <c r="L41" s="23" t="n">
        <f aca="false">IF(OR(F41="Fechado ganho",F41="Fechado perdido"),"",Painel!$B$3-H41)</f>
        <v>2</v>
      </c>
      <c r="M41" s="23" t="str">
        <f aca="false">IF(AND(F41="Fechado perdido",I41=""),"Falta motivo da perda",IF(OR(F41="Fechado ganho",F41="Fechado perdido"),"",IF(Painel!$B$3-H41&gt;7,"Sem contato há mais de 7 dias","OK")))</f>
        <v>OK</v>
      </c>
      <c r="N41" s="23" t="n">
        <f aca="false">MONTH(D41)</f>
        <v>9</v>
      </c>
    </row>
    <row r="42" customFormat="false" ht="15" hidden="false" customHeight="false" outlineLevel="0" collapsed="false">
      <c r="A42" s="19" t="s">
        <v>170</v>
      </c>
      <c r="B42" s="19" t="s">
        <v>171</v>
      </c>
      <c r="C42" s="19" t="s">
        <v>29</v>
      </c>
      <c r="D42" s="4" t="n">
        <v>46268</v>
      </c>
      <c r="E42" s="19" t="s">
        <v>88</v>
      </c>
      <c r="F42" s="19" t="s">
        <v>23</v>
      </c>
      <c r="G42" s="20" t="n">
        <v>12500</v>
      </c>
      <c r="H42" s="4" t="n">
        <v>46285</v>
      </c>
      <c r="I42" s="19" t="s">
        <v>141</v>
      </c>
      <c r="J42" s="21" t="n">
        <f aca="false">IFERROR(VLOOKUP(F42,Listas!$A$2:$B$6,2,FALSE()),0)</f>
        <v>0</v>
      </c>
      <c r="K42" s="22" t="n">
        <f aca="false">IF(OR(F42="Fechado ganho",F42="Fechado perdido"),0,G42*J42)</f>
        <v>0</v>
      </c>
      <c r="L42" s="23" t="str">
        <f aca="false">IF(OR(F42="Fechado ganho",F42="Fechado perdido"),"",Painel!$B$3-H42)</f>
        <v/>
      </c>
      <c r="M42" s="23" t="str">
        <f aca="false">IF(AND(F42="Fechado perdido",I42=""),"Falta motivo da perda",IF(OR(F42="Fechado ganho",F42="Fechado perdido"),"",IF(Painel!$B$3-H42&gt;7,"Sem contato há mais de 7 dias","OK")))</f>
        <v/>
      </c>
      <c r="N42" s="23" t="n">
        <f aca="false">MONTH(D42)</f>
        <v>9</v>
      </c>
    </row>
    <row r="43" customFormat="false" ht="15" hidden="false" customHeight="false" outlineLevel="0" collapsed="false">
      <c r="A43" s="19" t="s">
        <v>172</v>
      </c>
      <c r="B43" s="19" t="s">
        <v>173</v>
      </c>
      <c r="C43" s="19" t="s">
        <v>29</v>
      </c>
      <c r="D43" s="4" t="n">
        <v>46268</v>
      </c>
      <c r="E43" s="19" t="s">
        <v>88</v>
      </c>
      <c r="F43" s="19" t="s">
        <v>22</v>
      </c>
      <c r="G43" s="20" t="n">
        <v>4900</v>
      </c>
      <c r="H43" s="4" t="n">
        <v>46277</v>
      </c>
      <c r="I43" s="19"/>
      <c r="J43" s="21" t="n">
        <f aca="false">IFERROR(VLOOKUP(F43,Listas!$A$2:$B$6,2,FALSE()),0)</f>
        <v>1</v>
      </c>
      <c r="K43" s="22" t="n">
        <f aca="false">IF(OR(F43="Fechado ganho",F43="Fechado perdido"),0,G43*J43)</f>
        <v>0</v>
      </c>
      <c r="L43" s="23" t="str">
        <f aca="false">IF(OR(F43="Fechado ganho",F43="Fechado perdido"),"",Painel!$B$3-H43)</f>
        <v/>
      </c>
      <c r="M43" s="23" t="str">
        <f aca="false">IF(AND(F43="Fechado perdido",I43=""),"Falta motivo da perda",IF(OR(F43="Fechado ganho",F43="Fechado perdido"),"",IF(Painel!$B$3-H43&gt;7,"Sem contato há mais de 7 dias","OK")))</f>
        <v/>
      </c>
      <c r="N43" s="23" t="n">
        <f aca="false">MONTH(D43)</f>
        <v>9</v>
      </c>
    </row>
    <row r="44" customFormat="false" ht="15" hidden="false" customHeight="false" outlineLevel="0" collapsed="false">
      <c r="A44" s="19" t="s">
        <v>174</v>
      </c>
      <c r="B44" s="19" t="s">
        <v>175</v>
      </c>
      <c r="C44" s="19" t="s">
        <v>28</v>
      </c>
      <c r="D44" s="4" t="n">
        <v>46269</v>
      </c>
      <c r="E44" s="19" t="s">
        <v>91</v>
      </c>
      <c r="F44" s="19" t="s">
        <v>19</v>
      </c>
      <c r="G44" s="20" t="n">
        <v>17600</v>
      </c>
      <c r="H44" s="4" t="n">
        <v>46306</v>
      </c>
      <c r="I44" s="19"/>
      <c r="J44" s="21" t="n">
        <f aca="false">IFERROR(VLOOKUP(F44,Listas!$A$2:$B$6,2,FALSE()),0)</f>
        <v>0.1</v>
      </c>
      <c r="K44" s="22" t="n">
        <f aca="false">IF(OR(F44="Fechado ganho",F44="Fechado perdido"),0,G44*J44)</f>
        <v>1760</v>
      </c>
      <c r="L44" s="23" t="n">
        <f aca="false">IF(OR(F44="Fechado ganho",F44="Fechado perdido"),"",Painel!$B$3-H44)</f>
        <v>4</v>
      </c>
      <c r="M44" s="23" t="str">
        <f aca="false">IF(AND(F44="Fechado perdido",I44=""),"Falta motivo da perda",IF(OR(F44="Fechado ganho",F44="Fechado perdido"),"",IF(Painel!$B$3-H44&gt;7,"Sem contato há mais de 7 dias","OK")))</f>
        <v>OK</v>
      </c>
      <c r="N44" s="23" t="n">
        <f aca="false">MONTH(D44)</f>
        <v>9</v>
      </c>
    </row>
    <row r="45" customFormat="false" ht="15" hidden="false" customHeight="false" outlineLevel="0" collapsed="false">
      <c r="A45" s="19" t="s">
        <v>176</v>
      </c>
      <c r="B45" s="19" t="s">
        <v>177</v>
      </c>
      <c r="C45" s="19" t="s">
        <v>29</v>
      </c>
      <c r="D45" s="4" t="n">
        <v>46270</v>
      </c>
      <c r="E45" s="19" t="s">
        <v>91</v>
      </c>
      <c r="F45" s="19" t="s">
        <v>22</v>
      </c>
      <c r="G45" s="20" t="n">
        <v>19200</v>
      </c>
      <c r="H45" s="4" t="n">
        <v>46286</v>
      </c>
      <c r="I45" s="19"/>
      <c r="J45" s="21" t="n">
        <f aca="false">IFERROR(VLOOKUP(F45,Listas!$A$2:$B$6,2,FALSE()),0)</f>
        <v>1</v>
      </c>
      <c r="K45" s="22" t="n">
        <f aca="false">IF(OR(F45="Fechado ganho",F45="Fechado perdido"),0,G45*J45)</f>
        <v>0</v>
      </c>
      <c r="L45" s="23" t="str">
        <f aca="false">IF(OR(F45="Fechado ganho",F45="Fechado perdido"),"",Painel!$B$3-H45)</f>
        <v/>
      </c>
      <c r="M45" s="23" t="str">
        <f aca="false">IF(AND(F45="Fechado perdido",I45=""),"Falta motivo da perda",IF(OR(F45="Fechado ganho",F45="Fechado perdido"),"",IF(Painel!$B$3-H45&gt;7,"Sem contato há mais de 7 dias","OK")))</f>
        <v/>
      </c>
      <c r="N45" s="23" t="n">
        <f aca="false">MONTH(D45)</f>
        <v>9</v>
      </c>
    </row>
    <row r="46" customFormat="false" ht="15" hidden="false" customHeight="false" outlineLevel="0" collapsed="false">
      <c r="A46" s="19" t="s">
        <v>178</v>
      </c>
      <c r="B46" s="19" t="s">
        <v>179</v>
      </c>
      <c r="C46" s="19" t="s">
        <v>31</v>
      </c>
      <c r="D46" s="4" t="n">
        <v>46271</v>
      </c>
      <c r="E46" s="19" t="s">
        <v>88</v>
      </c>
      <c r="F46" s="19" t="s">
        <v>22</v>
      </c>
      <c r="G46" s="20" t="n">
        <v>19000</v>
      </c>
      <c r="H46" s="4" t="n">
        <v>46290</v>
      </c>
      <c r="I46" s="19"/>
      <c r="J46" s="21" t="n">
        <f aca="false">IFERROR(VLOOKUP(F46,Listas!$A$2:$B$6,2,FALSE()),0)</f>
        <v>1</v>
      </c>
      <c r="K46" s="22" t="n">
        <f aca="false">IF(OR(F46="Fechado ganho",F46="Fechado perdido"),0,G46*J46)</f>
        <v>0</v>
      </c>
      <c r="L46" s="23" t="str">
        <f aca="false">IF(OR(F46="Fechado ganho",F46="Fechado perdido"),"",Painel!$B$3-H46)</f>
        <v/>
      </c>
      <c r="M46" s="23" t="str">
        <f aca="false">IF(AND(F46="Fechado perdido",I46=""),"Falta motivo da perda",IF(OR(F46="Fechado ganho",F46="Fechado perdido"),"",IF(Painel!$B$3-H46&gt;7,"Sem contato há mais de 7 dias","OK")))</f>
        <v/>
      </c>
      <c r="N46" s="23" t="n">
        <f aca="false">MONTH(D46)</f>
        <v>9</v>
      </c>
    </row>
    <row r="47" customFormat="false" ht="15" hidden="false" customHeight="false" outlineLevel="0" collapsed="false">
      <c r="A47" s="19" t="s">
        <v>180</v>
      </c>
      <c r="B47" s="19" t="s">
        <v>181</v>
      </c>
      <c r="C47" s="19" t="s">
        <v>29</v>
      </c>
      <c r="D47" s="4" t="n">
        <v>46273</v>
      </c>
      <c r="E47" s="19" t="s">
        <v>88</v>
      </c>
      <c r="F47" s="19" t="s">
        <v>20</v>
      </c>
      <c r="G47" s="20" t="n">
        <v>14500</v>
      </c>
      <c r="H47" s="4" t="n">
        <v>46304</v>
      </c>
      <c r="I47" s="19"/>
      <c r="J47" s="21" t="n">
        <f aca="false">IFERROR(VLOOKUP(F47,Listas!$A$2:$B$6,2,FALSE()),0)</f>
        <v>0.4</v>
      </c>
      <c r="K47" s="22" t="n">
        <f aca="false">IF(OR(F47="Fechado ganho",F47="Fechado perdido"),0,G47*J47)</f>
        <v>5800</v>
      </c>
      <c r="L47" s="23" t="n">
        <f aca="false">IF(OR(F47="Fechado ganho",F47="Fechado perdido"),"",Painel!$B$3-H47)</f>
        <v>6</v>
      </c>
      <c r="M47" s="23" t="str">
        <f aca="false">IF(AND(F47="Fechado perdido",I47=""),"Falta motivo da perda",IF(OR(F47="Fechado ganho",F47="Fechado perdido"),"",IF(Painel!$B$3-H47&gt;7,"Sem contato há mais de 7 dias","OK")))</f>
        <v>OK</v>
      </c>
      <c r="N47" s="23" t="n">
        <f aca="false">MONTH(D47)</f>
        <v>9</v>
      </c>
    </row>
    <row r="48" customFormat="false" ht="15" hidden="false" customHeight="false" outlineLevel="0" collapsed="false">
      <c r="A48" s="19" t="s">
        <v>182</v>
      </c>
      <c r="B48" s="19" t="s">
        <v>183</v>
      </c>
      <c r="C48" s="19" t="s">
        <v>31</v>
      </c>
      <c r="D48" s="4" t="n">
        <v>46274</v>
      </c>
      <c r="E48" s="19" t="s">
        <v>88</v>
      </c>
      <c r="F48" s="19" t="s">
        <v>23</v>
      </c>
      <c r="G48" s="20" t="n">
        <v>9500</v>
      </c>
      <c r="H48" s="4" t="n">
        <v>46290</v>
      </c>
      <c r="I48" s="19" t="s">
        <v>141</v>
      </c>
      <c r="J48" s="21" t="n">
        <f aca="false">IFERROR(VLOOKUP(F48,Listas!$A$2:$B$6,2,FALSE()),0)</f>
        <v>0</v>
      </c>
      <c r="K48" s="22" t="n">
        <f aca="false">IF(OR(F48="Fechado ganho",F48="Fechado perdido"),0,G48*J48)</f>
        <v>0</v>
      </c>
      <c r="L48" s="23" t="str">
        <f aca="false">IF(OR(F48="Fechado ganho",F48="Fechado perdido"),"",Painel!$B$3-H48)</f>
        <v/>
      </c>
      <c r="M48" s="23" t="str">
        <f aca="false">IF(AND(F48="Fechado perdido",I48=""),"Falta motivo da perda",IF(OR(F48="Fechado ganho",F48="Fechado perdido"),"",IF(Painel!$B$3-H48&gt;7,"Sem contato há mais de 7 dias","OK")))</f>
        <v/>
      </c>
      <c r="N48" s="23" t="n">
        <f aca="false">MONTH(D48)</f>
        <v>9</v>
      </c>
    </row>
    <row r="49" customFormat="false" ht="15" hidden="false" customHeight="false" outlineLevel="0" collapsed="false">
      <c r="A49" s="19" t="s">
        <v>184</v>
      </c>
      <c r="B49" s="19" t="s">
        <v>185</v>
      </c>
      <c r="C49" s="19" t="s">
        <v>28</v>
      </c>
      <c r="D49" s="4" t="n">
        <v>46277</v>
      </c>
      <c r="E49" s="19" t="s">
        <v>88</v>
      </c>
      <c r="F49" s="19" t="s">
        <v>23</v>
      </c>
      <c r="G49" s="20" t="n">
        <v>14600</v>
      </c>
      <c r="H49" s="4" t="n">
        <v>46286</v>
      </c>
      <c r="I49" s="19" t="s">
        <v>141</v>
      </c>
      <c r="J49" s="21" t="n">
        <f aca="false">IFERROR(VLOOKUP(F49,Listas!$A$2:$B$6,2,FALSE()),0)</f>
        <v>0</v>
      </c>
      <c r="K49" s="22" t="n">
        <f aca="false">IF(OR(F49="Fechado ganho",F49="Fechado perdido"),0,G49*J49)</f>
        <v>0</v>
      </c>
      <c r="L49" s="23" t="str">
        <f aca="false">IF(OR(F49="Fechado ganho",F49="Fechado perdido"),"",Painel!$B$3-H49)</f>
        <v/>
      </c>
      <c r="M49" s="23" t="str">
        <f aca="false">IF(AND(F49="Fechado perdido",I49=""),"Falta motivo da perda",IF(OR(F49="Fechado ganho",F49="Fechado perdido"),"",IF(Painel!$B$3-H49&gt;7,"Sem contato há mais de 7 dias","OK")))</f>
        <v/>
      </c>
      <c r="N49" s="23" t="n">
        <f aca="false">MONTH(D49)</f>
        <v>9</v>
      </c>
    </row>
    <row r="50" customFormat="false" ht="15" hidden="false" customHeight="false" outlineLevel="0" collapsed="false">
      <c r="A50" s="19" t="s">
        <v>186</v>
      </c>
      <c r="B50" s="19" t="s">
        <v>187</v>
      </c>
      <c r="C50" s="19" t="s">
        <v>29</v>
      </c>
      <c r="D50" s="4" t="n">
        <v>46282</v>
      </c>
      <c r="E50" s="19" t="s">
        <v>91</v>
      </c>
      <c r="F50" s="19" t="s">
        <v>21</v>
      </c>
      <c r="G50" s="20" t="n">
        <v>4900</v>
      </c>
      <c r="H50" s="4" t="n">
        <v>46309</v>
      </c>
      <c r="I50" s="19"/>
      <c r="J50" s="21" t="n">
        <f aca="false">IFERROR(VLOOKUP(F50,Listas!$A$2:$B$6,2,FALSE()),0)</f>
        <v>0.7</v>
      </c>
      <c r="K50" s="22" t="n">
        <f aca="false">IF(OR(F50="Fechado ganho",F50="Fechado perdido"),0,G50*J50)</f>
        <v>3430</v>
      </c>
      <c r="L50" s="23" t="n">
        <f aca="false">IF(OR(F50="Fechado ganho",F50="Fechado perdido"),"",Painel!$B$3-H50)</f>
        <v>1</v>
      </c>
      <c r="M50" s="23" t="str">
        <f aca="false">IF(AND(F50="Fechado perdido",I50=""),"Falta motivo da perda",IF(OR(F50="Fechado ganho",F50="Fechado perdido"),"",IF(Painel!$B$3-H50&gt;7,"Sem contato há mais de 7 dias","OK")))</f>
        <v>OK</v>
      </c>
      <c r="N50" s="23" t="n">
        <f aca="false">MONTH(D50)</f>
        <v>9</v>
      </c>
    </row>
    <row r="51" customFormat="false" ht="15" hidden="false" customHeight="false" outlineLevel="0" collapsed="false">
      <c r="A51" s="19" t="s">
        <v>188</v>
      </c>
      <c r="B51" s="19" t="s">
        <v>189</v>
      </c>
      <c r="C51" s="19" t="s">
        <v>29</v>
      </c>
      <c r="D51" s="4" t="n">
        <v>46282</v>
      </c>
      <c r="E51" s="19" t="s">
        <v>91</v>
      </c>
      <c r="F51" s="19" t="s">
        <v>19</v>
      </c>
      <c r="G51" s="20" t="n">
        <v>17900</v>
      </c>
      <c r="H51" s="4" t="n">
        <v>46306</v>
      </c>
      <c r="I51" s="19"/>
      <c r="J51" s="21" t="n">
        <f aca="false">IFERROR(VLOOKUP(F51,Listas!$A$2:$B$6,2,FALSE()),0)</f>
        <v>0.1</v>
      </c>
      <c r="K51" s="22" t="n">
        <f aca="false">IF(OR(F51="Fechado ganho",F51="Fechado perdido"),0,G51*J51)</f>
        <v>1790</v>
      </c>
      <c r="L51" s="23" t="n">
        <f aca="false">IF(OR(F51="Fechado ganho",F51="Fechado perdido"),"",Painel!$B$3-H51)</f>
        <v>4</v>
      </c>
      <c r="M51" s="23" t="str">
        <f aca="false">IF(AND(F51="Fechado perdido",I51=""),"Falta motivo da perda",IF(OR(F51="Fechado ganho",F51="Fechado perdido"),"",IF(Painel!$B$3-H51&gt;7,"Sem contato há mais de 7 dias","OK")))</f>
        <v>OK</v>
      </c>
      <c r="N51" s="23" t="n">
        <f aca="false">MONTH(D51)</f>
        <v>9</v>
      </c>
    </row>
    <row r="52" customFormat="false" ht="15" hidden="false" customHeight="false" outlineLevel="0" collapsed="false">
      <c r="A52" s="19" t="s">
        <v>190</v>
      </c>
      <c r="B52" s="19" t="s">
        <v>191</v>
      </c>
      <c r="C52" s="19" t="s">
        <v>28</v>
      </c>
      <c r="D52" s="4" t="n">
        <v>46282</v>
      </c>
      <c r="E52" s="19" t="s">
        <v>91</v>
      </c>
      <c r="F52" s="19" t="s">
        <v>20</v>
      </c>
      <c r="G52" s="20" t="n">
        <v>11300</v>
      </c>
      <c r="H52" s="4" t="n">
        <v>46298</v>
      </c>
      <c r="I52" s="19"/>
      <c r="J52" s="21" t="n">
        <f aca="false">IFERROR(VLOOKUP(F52,Listas!$A$2:$B$6,2,FALSE()),0)</f>
        <v>0.4</v>
      </c>
      <c r="K52" s="22" t="n">
        <f aca="false">IF(OR(F52="Fechado ganho",F52="Fechado perdido"),0,G52*J52)</f>
        <v>4520</v>
      </c>
      <c r="L52" s="23" t="n">
        <f aca="false">IF(OR(F52="Fechado ganho",F52="Fechado perdido"),"",Painel!$B$3-H52)</f>
        <v>12</v>
      </c>
      <c r="M52" s="23" t="str">
        <f aca="false">IF(AND(F52="Fechado perdido",I52=""),"Falta motivo da perda",IF(OR(F52="Fechado ganho",F52="Fechado perdido"),"",IF(Painel!$B$3-H52&gt;7,"Sem contato há mais de 7 dias","OK")))</f>
        <v>Sem contato há mais de 7 dias</v>
      </c>
      <c r="N52" s="23" t="n">
        <f aca="false">MONTH(D52)</f>
        <v>9</v>
      </c>
    </row>
    <row r="53" customFormat="false" ht="15" hidden="false" customHeight="false" outlineLevel="0" collapsed="false">
      <c r="A53" s="19" t="s">
        <v>192</v>
      </c>
      <c r="B53" s="19" t="s">
        <v>193</v>
      </c>
      <c r="C53" s="19" t="s">
        <v>30</v>
      </c>
      <c r="D53" s="4" t="n">
        <v>46282</v>
      </c>
      <c r="E53" s="19" t="s">
        <v>91</v>
      </c>
      <c r="F53" s="19" t="s">
        <v>21</v>
      </c>
      <c r="G53" s="20" t="n">
        <v>24600</v>
      </c>
      <c r="H53" s="4" t="n">
        <v>46300</v>
      </c>
      <c r="I53" s="19"/>
      <c r="J53" s="21" t="n">
        <f aca="false">IFERROR(VLOOKUP(F53,Listas!$A$2:$B$6,2,FALSE()),0)</f>
        <v>0.7</v>
      </c>
      <c r="K53" s="22" t="n">
        <f aca="false">IF(OR(F53="Fechado ganho",F53="Fechado perdido"),0,G53*J53)</f>
        <v>17220</v>
      </c>
      <c r="L53" s="23" t="n">
        <f aca="false">IF(OR(F53="Fechado ganho",F53="Fechado perdido"),"",Painel!$B$3-H53)</f>
        <v>10</v>
      </c>
      <c r="M53" s="23" t="str">
        <f aca="false">IF(AND(F53="Fechado perdido",I53=""),"Falta motivo da perda",IF(OR(F53="Fechado ganho",F53="Fechado perdido"),"",IF(Painel!$B$3-H53&gt;7,"Sem contato há mais de 7 dias","OK")))</f>
        <v>Sem contato há mais de 7 dias</v>
      </c>
      <c r="N53" s="23" t="n">
        <f aca="false">MONTH(D53)</f>
        <v>9</v>
      </c>
    </row>
    <row r="54" customFormat="false" ht="15" hidden="false" customHeight="false" outlineLevel="0" collapsed="false">
      <c r="A54" s="19" t="s">
        <v>194</v>
      </c>
      <c r="B54" s="19" t="s">
        <v>195</v>
      </c>
      <c r="C54" s="19" t="s">
        <v>29</v>
      </c>
      <c r="D54" s="4" t="n">
        <v>46283</v>
      </c>
      <c r="E54" s="19" t="s">
        <v>88</v>
      </c>
      <c r="F54" s="19" t="s">
        <v>20</v>
      </c>
      <c r="G54" s="20" t="n">
        <v>19200</v>
      </c>
      <c r="H54" s="4" t="n">
        <v>46305</v>
      </c>
      <c r="I54" s="19"/>
      <c r="J54" s="21" t="n">
        <f aca="false">IFERROR(VLOOKUP(F54,Listas!$A$2:$B$6,2,FALSE()),0)</f>
        <v>0.4</v>
      </c>
      <c r="K54" s="22" t="n">
        <f aca="false">IF(OR(F54="Fechado ganho",F54="Fechado perdido"),0,G54*J54)</f>
        <v>7680</v>
      </c>
      <c r="L54" s="23" t="n">
        <f aca="false">IF(OR(F54="Fechado ganho",F54="Fechado perdido"),"",Painel!$B$3-H54)</f>
        <v>5</v>
      </c>
      <c r="M54" s="23" t="str">
        <f aca="false">IF(AND(F54="Fechado perdido",I54=""),"Falta motivo da perda",IF(OR(F54="Fechado ganho",F54="Fechado perdido"),"",IF(Painel!$B$3-H54&gt;7,"Sem contato há mais de 7 dias","OK")))</f>
        <v>OK</v>
      </c>
      <c r="N54" s="23" t="n">
        <f aca="false">MONTH(D54)</f>
        <v>9</v>
      </c>
    </row>
    <row r="55" customFormat="false" ht="15" hidden="false" customHeight="false" outlineLevel="0" collapsed="false">
      <c r="A55" s="19" t="s">
        <v>196</v>
      </c>
      <c r="B55" s="19" t="s">
        <v>197</v>
      </c>
      <c r="C55" s="19" t="s">
        <v>31</v>
      </c>
      <c r="D55" s="4" t="n">
        <v>46283</v>
      </c>
      <c r="E55" s="19" t="s">
        <v>91</v>
      </c>
      <c r="F55" s="19" t="s">
        <v>21</v>
      </c>
      <c r="G55" s="20" t="n">
        <v>18900</v>
      </c>
      <c r="H55" s="4" t="n">
        <v>46307</v>
      </c>
      <c r="I55" s="19"/>
      <c r="J55" s="21" t="n">
        <f aca="false">IFERROR(VLOOKUP(F55,Listas!$A$2:$B$6,2,FALSE()),0)</f>
        <v>0.7</v>
      </c>
      <c r="K55" s="22" t="n">
        <f aca="false">IF(OR(F55="Fechado ganho",F55="Fechado perdido"),0,G55*J55)</f>
        <v>13230</v>
      </c>
      <c r="L55" s="23" t="n">
        <f aca="false">IF(OR(F55="Fechado ganho",F55="Fechado perdido"),"",Painel!$B$3-H55)</f>
        <v>3</v>
      </c>
      <c r="M55" s="23" t="str">
        <f aca="false">IF(AND(F55="Fechado perdido",I55=""),"Falta motivo da perda",IF(OR(F55="Fechado ganho",F55="Fechado perdido"),"",IF(Painel!$B$3-H55&gt;7,"Sem contato há mais de 7 dias","OK")))</f>
        <v>OK</v>
      </c>
      <c r="N55" s="23" t="n">
        <f aca="false">MONTH(D55)</f>
        <v>9</v>
      </c>
    </row>
    <row r="56" customFormat="false" ht="15" hidden="false" customHeight="false" outlineLevel="0" collapsed="false">
      <c r="A56" s="19" t="s">
        <v>198</v>
      </c>
      <c r="B56" s="19" t="s">
        <v>199</v>
      </c>
      <c r="C56" s="19" t="s">
        <v>30</v>
      </c>
      <c r="D56" s="4" t="n">
        <v>46289</v>
      </c>
      <c r="E56" s="19" t="s">
        <v>91</v>
      </c>
      <c r="F56" s="19" t="s">
        <v>19</v>
      </c>
      <c r="G56" s="20" t="n">
        <v>7600</v>
      </c>
      <c r="H56" s="4" t="n">
        <v>46298</v>
      </c>
      <c r="I56" s="19"/>
      <c r="J56" s="21" t="n">
        <f aca="false">IFERROR(VLOOKUP(F56,Listas!$A$2:$B$6,2,FALSE()),0)</f>
        <v>0.1</v>
      </c>
      <c r="K56" s="22" t="n">
        <f aca="false">IF(OR(F56="Fechado ganho",F56="Fechado perdido"),0,G56*J56)</f>
        <v>760</v>
      </c>
      <c r="L56" s="23" t="n">
        <f aca="false">IF(OR(F56="Fechado ganho",F56="Fechado perdido"),"",Painel!$B$3-H56)</f>
        <v>12</v>
      </c>
      <c r="M56" s="23" t="str">
        <f aca="false">IF(AND(F56="Fechado perdido",I56=""),"Falta motivo da perda",IF(OR(F56="Fechado ganho",F56="Fechado perdido"),"",IF(Painel!$B$3-H56&gt;7,"Sem contato há mais de 7 dias","OK")))</f>
        <v>Sem contato há mais de 7 dias</v>
      </c>
      <c r="N56" s="23" t="n">
        <f aca="false">MONTH(D56)</f>
        <v>9</v>
      </c>
    </row>
    <row r="57" customFormat="false" ht="15" hidden="false" customHeight="false" outlineLevel="0" collapsed="false">
      <c r="A57" s="19" t="s">
        <v>200</v>
      </c>
      <c r="B57" s="19" t="s">
        <v>201</v>
      </c>
      <c r="C57" s="19" t="s">
        <v>31</v>
      </c>
      <c r="D57" s="4" t="n">
        <v>46290</v>
      </c>
      <c r="E57" s="19" t="s">
        <v>88</v>
      </c>
      <c r="F57" s="19" t="s">
        <v>23</v>
      </c>
      <c r="G57" s="20" t="n">
        <v>7800</v>
      </c>
      <c r="H57" s="4" t="n">
        <v>46297</v>
      </c>
      <c r="I57" s="19" t="s">
        <v>132</v>
      </c>
      <c r="J57" s="21" t="n">
        <f aca="false">IFERROR(VLOOKUP(F57,Listas!$A$2:$B$6,2,FALSE()),0)</f>
        <v>0</v>
      </c>
      <c r="K57" s="22" t="n">
        <f aca="false">IF(OR(F57="Fechado ganho",F57="Fechado perdido"),0,G57*J57)</f>
        <v>0</v>
      </c>
      <c r="L57" s="23" t="str">
        <f aca="false">IF(OR(F57="Fechado ganho",F57="Fechado perdido"),"",Painel!$B$3-H57)</f>
        <v/>
      </c>
      <c r="M57" s="23" t="str">
        <f aca="false">IF(AND(F57="Fechado perdido",I57=""),"Falta motivo da perda",IF(OR(F57="Fechado ganho",F57="Fechado perdido"),"",IF(Painel!$B$3-H57&gt;7,"Sem contato há mais de 7 dias","OK")))</f>
        <v/>
      </c>
      <c r="N57" s="23" t="n">
        <f aca="false">MONTH(D57)</f>
        <v>9</v>
      </c>
    </row>
    <row r="58" customFormat="false" ht="15" hidden="false" customHeight="false" outlineLevel="0" collapsed="false">
      <c r="A58" s="19" t="s">
        <v>202</v>
      </c>
      <c r="B58" s="19" t="s">
        <v>203</v>
      </c>
      <c r="C58" s="19" t="s">
        <v>30</v>
      </c>
      <c r="D58" s="4" t="n">
        <v>46290</v>
      </c>
      <c r="E58" s="19" t="s">
        <v>88</v>
      </c>
      <c r="F58" s="19" t="s">
        <v>22</v>
      </c>
      <c r="G58" s="20" t="n">
        <v>9500</v>
      </c>
      <c r="H58" s="4" t="n">
        <v>46293</v>
      </c>
      <c r="I58" s="19"/>
      <c r="J58" s="21" t="n">
        <f aca="false">IFERROR(VLOOKUP(F58,Listas!$A$2:$B$6,2,FALSE()),0)</f>
        <v>1</v>
      </c>
      <c r="K58" s="22" t="n">
        <f aca="false">IF(OR(F58="Fechado ganho",F58="Fechado perdido"),0,G58*J58)</f>
        <v>0</v>
      </c>
      <c r="L58" s="23" t="str">
        <f aca="false">IF(OR(F58="Fechado ganho",F58="Fechado perdido"),"",Painel!$B$3-H58)</f>
        <v/>
      </c>
      <c r="M58" s="23" t="str">
        <f aca="false">IF(AND(F58="Fechado perdido",I58=""),"Falta motivo da perda",IF(OR(F58="Fechado ganho",F58="Fechado perdido"),"",IF(Painel!$B$3-H58&gt;7,"Sem contato há mais de 7 dias","OK")))</f>
        <v/>
      </c>
      <c r="N58" s="23" t="n">
        <f aca="false">MONTH(D58)</f>
        <v>9</v>
      </c>
    </row>
    <row r="59" customFormat="false" ht="15" hidden="false" customHeight="false" outlineLevel="0" collapsed="false">
      <c r="A59" s="19" t="s">
        <v>204</v>
      </c>
      <c r="B59" s="19" t="s">
        <v>205</v>
      </c>
      <c r="C59" s="19" t="s">
        <v>28</v>
      </c>
      <c r="D59" s="4" t="n">
        <v>46290</v>
      </c>
      <c r="E59" s="19" t="s">
        <v>88</v>
      </c>
      <c r="F59" s="19" t="s">
        <v>23</v>
      </c>
      <c r="G59" s="20" t="n">
        <v>11900</v>
      </c>
      <c r="H59" s="4" t="n">
        <v>46294</v>
      </c>
      <c r="I59" s="19" t="s">
        <v>141</v>
      </c>
      <c r="J59" s="21" t="n">
        <f aca="false">IFERROR(VLOOKUP(F59,Listas!$A$2:$B$6,2,FALSE()),0)</f>
        <v>0</v>
      </c>
      <c r="K59" s="22" t="n">
        <f aca="false">IF(OR(F59="Fechado ganho",F59="Fechado perdido"),0,G59*J59)</f>
        <v>0</v>
      </c>
      <c r="L59" s="23" t="str">
        <f aca="false">IF(OR(F59="Fechado ganho",F59="Fechado perdido"),"",Painel!$B$3-H59)</f>
        <v/>
      </c>
      <c r="M59" s="23" t="str">
        <f aca="false">IF(AND(F59="Fechado perdido",I59=""),"Falta motivo da perda",IF(OR(F59="Fechado ganho",F59="Fechado perdido"),"",IF(Painel!$B$3-H59&gt;7,"Sem contato há mais de 7 dias","OK")))</f>
        <v/>
      </c>
      <c r="N59" s="23" t="n">
        <f aca="false">MONTH(D59)</f>
        <v>9</v>
      </c>
    </row>
    <row r="60" customFormat="false" ht="15" hidden="false" customHeight="false" outlineLevel="0" collapsed="false">
      <c r="A60" s="19" t="s">
        <v>206</v>
      </c>
      <c r="B60" s="19" t="s">
        <v>207</v>
      </c>
      <c r="C60" s="19" t="s">
        <v>31</v>
      </c>
      <c r="D60" s="4" t="n">
        <v>46290</v>
      </c>
      <c r="E60" s="19" t="s">
        <v>88</v>
      </c>
      <c r="F60" s="19" t="s">
        <v>22</v>
      </c>
      <c r="G60" s="20" t="n">
        <v>8000</v>
      </c>
      <c r="H60" s="4" t="n">
        <v>46293</v>
      </c>
      <c r="I60" s="19"/>
      <c r="J60" s="21" t="n">
        <f aca="false">IFERROR(VLOOKUP(F60,Listas!$A$2:$B$6,2,FALSE()),0)</f>
        <v>1</v>
      </c>
      <c r="K60" s="22" t="n">
        <f aca="false">IF(OR(F60="Fechado ganho",F60="Fechado perdido"),0,G60*J60)</f>
        <v>0</v>
      </c>
      <c r="L60" s="23" t="str">
        <f aca="false">IF(OR(F60="Fechado ganho",F60="Fechado perdido"),"",Painel!$B$3-H60)</f>
        <v/>
      </c>
      <c r="M60" s="23" t="str">
        <f aca="false">IF(AND(F60="Fechado perdido",I60=""),"Falta motivo da perda",IF(OR(F60="Fechado ganho",F60="Fechado perdido"),"",IF(Painel!$B$3-H60&gt;7,"Sem contato há mais de 7 dias","OK")))</f>
        <v/>
      </c>
      <c r="N60" s="23" t="n">
        <f aca="false">MONTH(D60)</f>
        <v>9</v>
      </c>
    </row>
    <row r="61" customFormat="false" ht="15" hidden="false" customHeight="false" outlineLevel="0" collapsed="false">
      <c r="A61" s="19" t="s">
        <v>208</v>
      </c>
      <c r="B61" s="19" t="s">
        <v>209</v>
      </c>
      <c r="C61" s="19" t="s">
        <v>28</v>
      </c>
      <c r="D61" s="4" t="n">
        <v>46290</v>
      </c>
      <c r="E61" s="19" t="s">
        <v>88</v>
      </c>
      <c r="F61" s="19" t="s">
        <v>23</v>
      </c>
      <c r="G61" s="20" t="n">
        <v>3700</v>
      </c>
      <c r="H61" s="4" t="n">
        <v>46299</v>
      </c>
      <c r="I61" s="19" t="s">
        <v>132</v>
      </c>
      <c r="J61" s="21" t="n">
        <f aca="false">IFERROR(VLOOKUP(F61,Listas!$A$2:$B$6,2,FALSE()),0)</f>
        <v>0</v>
      </c>
      <c r="K61" s="22" t="n">
        <f aca="false">IF(OR(F61="Fechado ganho",F61="Fechado perdido"),0,G61*J61)</f>
        <v>0</v>
      </c>
      <c r="L61" s="23" t="str">
        <f aca="false">IF(OR(F61="Fechado ganho",F61="Fechado perdido"),"",Painel!$B$3-H61)</f>
        <v/>
      </c>
      <c r="M61" s="23" t="str">
        <f aca="false">IF(AND(F61="Fechado perdido",I61=""),"Falta motivo da perda",IF(OR(F61="Fechado ganho",F61="Fechado perdido"),"",IF(Painel!$B$3-H61&gt;7,"Sem contato há mais de 7 dias","OK")))</f>
        <v/>
      </c>
      <c r="N61" s="23" t="n">
        <f aca="false">MONTH(D61)</f>
        <v>9</v>
      </c>
    </row>
    <row r="62" customFormat="false" ht="15" hidden="false" customHeight="false" outlineLevel="0" collapsed="false">
      <c r="A62" s="19" t="s">
        <v>210</v>
      </c>
      <c r="B62" s="19" t="s">
        <v>211</v>
      </c>
      <c r="C62" s="19" t="s">
        <v>31</v>
      </c>
      <c r="D62" s="4" t="n">
        <v>46290</v>
      </c>
      <c r="E62" s="19" t="s">
        <v>88</v>
      </c>
      <c r="F62" s="19" t="s">
        <v>22</v>
      </c>
      <c r="G62" s="20" t="n">
        <v>21500</v>
      </c>
      <c r="H62" s="4" t="n">
        <v>46309</v>
      </c>
      <c r="I62" s="19"/>
      <c r="J62" s="21" t="n">
        <f aca="false">IFERROR(VLOOKUP(F62,Listas!$A$2:$B$6,2,FALSE()),0)</f>
        <v>1</v>
      </c>
      <c r="K62" s="22" t="n">
        <f aca="false">IF(OR(F62="Fechado ganho",F62="Fechado perdido"),0,G62*J62)</f>
        <v>0</v>
      </c>
      <c r="L62" s="23" t="str">
        <f aca="false">IF(OR(F62="Fechado ganho",F62="Fechado perdido"),"",Painel!$B$3-H62)</f>
        <v/>
      </c>
      <c r="M62" s="23" t="str">
        <f aca="false">IF(AND(F62="Fechado perdido",I62=""),"Falta motivo da perda",IF(OR(F62="Fechado ganho",F62="Fechado perdido"),"",IF(Painel!$B$3-H62&gt;7,"Sem contato há mais de 7 dias","OK")))</f>
        <v/>
      </c>
      <c r="N62" s="23" t="n">
        <f aca="false">MONTH(D62)</f>
        <v>9</v>
      </c>
    </row>
    <row r="63" customFormat="false" ht="15" hidden="false" customHeight="false" outlineLevel="0" collapsed="false">
      <c r="A63" s="19" t="s">
        <v>212</v>
      </c>
      <c r="B63" s="19" t="s">
        <v>213</v>
      </c>
      <c r="C63" s="19" t="s">
        <v>30</v>
      </c>
      <c r="D63" s="4" t="n">
        <v>46290</v>
      </c>
      <c r="E63" s="19" t="s">
        <v>88</v>
      </c>
      <c r="F63" s="19" t="s">
        <v>22</v>
      </c>
      <c r="G63" s="20" t="n">
        <v>16100</v>
      </c>
      <c r="H63" s="4" t="n">
        <v>46310</v>
      </c>
      <c r="I63" s="19"/>
      <c r="J63" s="21" t="n">
        <f aca="false">IFERROR(VLOOKUP(F63,Listas!$A$2:$B$6,2,FALSE()),0)</f>
        <v>1</v>
      </c>
      <c r="K63" s="22" t="n">
        <f aca="false">IF(OR(F63="Fechado ganho",F63="Fechado perdido"),0,G63*J63)</f>
        <v>0</v>
      </c>
      <c r="L63" s="23" t="str">
        <f aca="false">IF(OR(F63="Fechado ganho",F63="Fechado perdido"),"",Painel!$B$3-H63)</f>
        <v/>
      </c>
      <c r="M63" s="23" t="str">
        <f aca="false">IF(AND(F63="Fechado perdido",I63=""),"Falta motivo da perda",IF(OR(F63="Fechado ganho",F63="Fechado perdido"),"",IF(Painel!$B$3-H63&gt;7,"Sem contato há mais de 7 dias","OK")))</f>
        <v/>
      </c>
      <c r="N63" s="23" t="n">
        <f aca="false">MONTH(D63)</f>
        <v>9</v>
      </c>
    </row>
    <row r="64" customFormat="false" ht="15" hidden="false" customHeight="false" outlineLevel="0" collapsed="false">
      <c r="A64" s="19" t="s">
        <v>214</v>
      </c>
      <c r="B64" s="19" t="s">
        <v>215</v>
      </c>
      <c r="C64" s="19" t="s">
        <v>29</v>
      </c>
      <c r="D64" s="4" t="n">
        <v>46290</v>
      </c>
      <c r="E64" s="19" t="s">
        <v>88</v>
      </c>
      <c r="F64" s="19" t="s">
        <v>23</v>
      </c>
      <c r="G64" s="20" t="n">
        <v>9900</v>
      </c>
      <c r="H64" s="4" t="n">
        <v>46308</v>
      </c>
      <c r="I64" s="19" t="s">
        <v>132</v>
      </c>
      <c r="J64" s="21" t="n">
        <f aca="false">IFERROR(VLOOKUP(F64,Listas!$A$2:$B$6,2,FALSE()),0)</f>
        <v>0</v>
      </c>
      <c r="K64" s="22" t="n">
        <f aca="false">IF(OR(F64="Fechado ganho",F64="Fechado perdido"),0,G64*J64)</f>
        <v>0</v>
      </c>
      <c r="L64" s="23" t="str">
        <f aca="false">IF(OR(F64="Fechado ganho",F64="Fechado perdido"),"",Painel!$B$3-H64)</f>
        <v/>
      </c>
      <c r="M64" s="23" t="str">
        <f aca="false">IF(AND(F64="Fechado perdido",I64=""),"Falta motivo da perda",IF(OR(F64="Fechado ganho",F64="Fechado perdido"),"",IF(Painel!$B$3-H64&gt;7,"Sem contato há mais de 7 dias","OK")))</f>
        <v/>
      </c>
      <c r="N64" s="23" t="n">
        <f aca="false">MONTH(D64)</f>
        <v>9</v>
      </c>
    </row>
    <row r="65" customFormat="false" ht="15" hidden="false" customHeight="false" outlineLevel="0" collapsed="false">
      <c r="A65" s="19" t="s">
        <v>216</v>
      </c>
      <c r="B65" s="19" t="s">
        <v>217</v>
      </c>
      <c r="C65" s="19" t="s">
        <v>28</v>
      </c>
      <c r="D65" s="4" t="n">
        <v>46290</v>
      </c>
      <c r="E65" s="19" t="s">
        <v>88</v>
      </c>
      <c r="F65" s="19" t="s">
        <v>23</v>
      </c>
      <c r="G65" s="20" t="n">
        <v>13200</v>
      </c>
      <c r="H65" s="4" t="n">
        <v>46310</v>
      </c>
      <c r="I65" s="19" t="s">
        <v>132</v>
      </c>
      <c r="J65" s="21" t="n">
        <f aca="false">IFERROR(VLOOKUP(F65,Listas!$A$2:$B$6,2,FALSE()),0)</f>
        <v>0</v>
      </c>
      <c r="K65" s="22" t="n">
        <f aca="false">IF(OR(F65="Fechado ganho",F65="Fechado perdido"),0,G65*J65)</f>
        <v>0</v>
      </c>
      <c r="L65" s="23" t="str">
        <f aca="false">IF(OR(F65="Fechado ganho",F65="Fechado perdido"),"",Painel!$B$3-H65)</f>
        <v/>
      </c>
      <c r="M65" s="23" t="str">
        <f aca="false">IF(AND(F65="Fechado perdido",I65=""),"Falta motivo da perda",IF(OR(F65="Fechado ganho",F65="Fechado perdido"),"",IF(Painel!$B$3-H65&gt;7,"Sem contato há mais de 7 dias","OK")))</f>
        <v/>
      </c>
      <c r="N65" s="23" t="n">
        <f aca="false">MONTH(D65)</f>
        <v>9</v>
      </c>
    </row>
    <row r="66" customFormat="false" ht="15" hidden="false" customHeight="false" outlineLevel="0" collapsed="false">
      <c r="A66" s="19" t="s">
        <v>218</v>
      </c>
      <c r="B66" s="19" t="s">
        <v>219</v>
      </c>
      <c r="C66" s="19" t="s">
        <v>31</v>
      </c>
      <c r="D66" s="4" t="n">
        <v>46291</v>
      </c>
      <c r="E66" s="19" t="s">
        <v>91</v>
      </c>
      <c r="F66" s="19" t="s">
        <v>19</v>
      </c>
      <c r="G66" s="20" t="n">
        <v>16600</v>
      </c>
      <c r="H66" s="4" t="n">
        <v>46306</v>
      </c>
      <c r="I66" s="19"/>
      <c r="J66" s="21" t="n">
        <f aca="false">IFERROR(VLOOKUP(F66,Listas!$A$2:$B$6,2,FALSE()),0)</f>
        <v>0.1</v>
      </c>
      <c r="K66" s="22" t="n">
        <f aca="false">IF(OR(F66="Fechado ganho",F66="Fechado perdido"),0,G66*J66)</f>
        <v>1660</v>
      </c>
      <c r="L66" s="23" t="n">
        <f aca="false">IF(OR(F66="Fechado ganho",F66="Fechado perdido"),"",Painel!$B$3-H66)</f>
        <v>4</v>
      </c>
      <c r="M66" s="23" t="str">
        <f aca="false">IF(AND(F66="Fechado perdido",I66=""),"Falta motivo da perda",IF(OR(F66="Fechado ganho",F66="Fechado perdido"),"",IF(Painel!$B$3-H66&gt;7,"Sem contato há mais de 7 dias","OK")))</f>
        <v>OK</v>
      </c>
      <c r="N66" s="23" t="n">
        <f aca="false">MONTH(D66)</f>
        <v>9</v>
      </c>
    </row>
    <row r="67" customFormat="false" ht="15" hidden="false" customHeight="false" outlineLevel="0" collapsed="false">
      <c r="A67" s="19" t="s">
        <v>220</v>
      </c>
      <c r="B67" s="19" t="s">
        <v>221</v>
      </c>
      <c r="C67" s="19" t="s">
        <v>31</v>
      </c>
      <c r="D67" s="4" t="n">
        <v>46294</v>
      </c>
      <c r="E67" s="19" t="s">
        <v>91</v>
      </c>
      <c r="F67" s="19" t="s">
        <v>20</v>
      </c>
      <c r="G67" s="20" t="n">
        <v>23300</v>
      </c>
      <c r="H67" s="4" t="n">
        <v>46310</v>
      </c>
      <c r="I67" s="19"/>
      <c r="J67" s="21" t="n">
        <f aca="false">IFERROR(VLOOKUP(F67,Listas!$A$2:$B$6,2,FALSE()),0)</f>
        <v>0.4</v>
      </c>
      <c r="K67" s="22" t="n">
        <f aca="false">IF(OR(F67="Fechado ganho",F67="Fechado perdido"),0,G67*J67)</f>
        <v>9320</v>
      </c>
      <c r="L67" s="23" t="n">
        <f aca="false">IF(OR(F67="Fechado ganho",F67="Fechado perdido"),"",Painel!$B$3-H67)</f>
        <v>0</v>
      </c>
      <c r="M67" s="23" t="str">
        <f aca="false">IF(AND(F67="Fechado perdido",I67=""),"Falta motivo da perda",IF(OR(F67="Fechado ganho",F67="Fechado perdido"),"",IF(Painel!$B$3-H67&gt;7,"Sem contato há mais de 7 dias","OK")))</f>
        <v>OK</v>
      </c>
      <c r="N67" s="23" t="n">
        <f aca="false">MONTH(D67)</f>
        <v>9</v>
      </c>
    </row>
    <row r="68" customFormat="false" ht="15" hidden="false" customHeight="false" outlineLevel="0" collapsed="false">
      <c r="A68" s="19" t="s">
        <v>222</v>
      </c>
      <c r="B68" s="19" t="s">
        <v>223</v>
      </c>
      <c r="C68" s="19" t="s">
        <v>30</v>
      </c>
      <c r="D68" s="4" t="n">
        <v>46294</v>
      </c>
      <c r="E68" s="19" t="s">
        <v>91</v>
      </c>
      <c r="F68" s="19" t="s">
        <v>21</v>
      </c>
      <c r="G68" s="20" t="n">
        <v>24000</v>
      </c>
      <c r="H68" s="4" t="n">
        <v>46306</v>
      </c>
      <c r="I68" s="19"/>
      <c r="J68" s="21" t="n">
        <f aca="false">IFERROR(VLOOKUP(F68,Listas!$A$2:$B$6,2,FALSE()),0)</f>
        <v>0.7</v>
      </c>
      <c r="K68" s="22" t="n">
        <f aca="false">IF(OR(F68="Fechado ganho",F68="Fechado perdido"),0,G68*J68)</f>
        <v>16800</v>
      </c>
      <c r="L68" s="23" t="n">
        <f aca="false">IF(OR(F68="Fechado ganho",F68="Fechado perdido"),"",Painel!$B$3-H68)</f>
        <v>4</v>
      </c>
      <c r="M68" s="23" t="str">
        <f aca="false">IF(AND(F68="Fechado perdido",I68=""),"Falta motivo da perda",IF(OR(F68="Fechado ganho",F68="Fechado perdido"),"",IF(Painel!$B$3-H68&gt;7,"Sem contato há mais de 7 dias","OK")))</f>
        <v>OK</v>
      </c>
      <c r="N68" s="23" t="n">
        <f aca="false">MONTH(D68)</f>
        <v>9</v>
      </c>
    </row>
    <row r="69" customFormat="false" ht="15" hidden="false" customHeight="false" outlineLevel="0" collapsed="false">
      <c r="A69" s="19" t="s">
        <v>224</v>
      </c>
      <c r="B69" s="19" t="s">
        <v>225</v>
      </c>
      <c r="C69" s="19" t="s">
        <v>29</v>
      </c>
      <c r="D69" s="4" t="n">
        <v>46294</v>
      </c>
      <c r="E69" s="19" t="s">
        <v>91</v>
      </c>
      <c r="F69" s="19" t="s">
        <v>21</v>
      </c>
      <c r="G69" s="20" t="n">
        <v>7800</v>
      </c>
      <c r="H69" s="4" t="n">
        <v>46309</v>
      </c>
      <c r="I69" s="19"/>
      <c r="J69" s="21" t="n">
        <f aca="false">IFERROR(VLOOKUP(F69,Listas!$A$2:$B$6,2,FALSE()),0)</f>
        <v>0.7</v>
      </c>
      <c r="K69" s="22" t="n">
        <f aca="false">IF(OR(F69="Fechado ganho",F69="Fechado perdido"),0,G69*J69)</f>
        <v>5460</v>
      </c>
      <c r="L69" s="23" t="n">
        <f aca="false">IF(OR(F69="Fechado ganho",F69="Fechado perdido"),"",Painel!$B$3-H69)</f>
        <v>1</v>
      </c>
      <c r="M69" s="23" t="str">
        <f aca="false">IF(AND(F69="Fechado perdido",I69=""),"Falta motivo da perda",IF(OR(F69="Fechado ganho",F69="Fechado perdido"),"",IF(Painel!$B$3-H69&gt;7,"Sem contato há mais de 7 dias","OK")))</f>
        <v>OK</v>
      </c>
      <c r="N69" s="23" t="n">
        <f aca="false">MONTH(D69)</f>
        <v>9</v>
      </c>
    </row>
    <row r="70" customFormat="false" ht="15" hidden="false" customHeight="false" outlineLevel="0" collapsed="false">
      <c r="A70" s="19" t="s">
        <v>226</v>
      </c>
      <c r="B70" s="19" t="s">
        <v>227</v>
      </c>
      <c r="C70" s="19" t="s">
        <v>29</v>
      </c>
      <c r="D70" s="4" t="n">
        <v>46296</v>
      </c>
      <c r="E70" s="19" t="s">
        <v>91</v>
      </c>
      <c r="F70" s="19" t="s">
        <v>21</v>
      </c>
      <c r="G70" s="20" t="n">
        <v>22900</v>
      </c>
      <c r="H70" s="4" t="n">
        <v>46308</v>
      </c>
      <c r="I70" s="19"/>
      <c r="J70" s="21" t="n">
        <f aca="false">IFERROR(VLOOKUP(F70,Listas!$A$2:$B$6,2,FALSE()),0)</f>
        <v>0.7</v>
      </c>
      <c r="K70" s="22" t="n">
        <f aca="false">IF(OR(F70="Fechado ganho",F70="Fechado perdido"),0,G70*J70)</f>
        <v>16030</v>
      </c>
      <c r="L70" s="23" t="n">
        <f aca="false">IF(OR(F70="Fechado ganho",F70="Fechado perdido"),"",Painel!$B$3-H70)</f>
        <v>2</v>
      </c>
      <c r="M70" s="23" t="str">
        <f aca="false">IF(AND(F70="Fechado perdido",I70=""),"Falta motivo da perda",IF(OR(F70="Fechado ganho",F70="Fechado perdido"),"",IF(Painel!$B$3-H70&gt;7,"Sem contato há mais de 7 dias","OK")))</f>
        <v>OK</v>
      </c>
      <c r="N70" s="23" t="n">
        <f aca="false">MONTH(D70)</f>
        <v>10</v>
      </c>
    </row>
    <row r="71" customFormat="false" ht="15" hidden="false" customHeight="false" outlineLevel="0" collapsed="false">
      <c r="A71" s="19" t="s">
        <v>228</v>
      </c>
      <c r="B71" s="19" t="s">
        <v>229</v>
      </c>
      <c r="C71" s="19" t="s">
        <v>28</v>
      </c>
      <c r="D71" s="4" t="n">
        <v>46296</v>
      </c>
      <c r="E71" s="19" t="s">
        <v>91</v>
      </c>
      <c r="F71" s="19" t="s">
        <v>20</v>
      </c>
      <c r="G71" s="20" t="n">
        <v>10200</v>
      </c>
      <c r="H71" s="4" t="n">
        <v>46298</v>
      </c>
      <c r="I71" s="19"/>
      <c r="J71" s="21" t="n">
        <f aca="false">IFERROR(VLOOKUP(F71,Listas!$A$2:$B$6,2,FALSE()),0)</f>
        <v>0.4</v>
      </c>
      <c r="K71" s="22" t="n">
        <f aca="false">IF(OR(F71="Fechado ganho",F71="Fechado perdido"),0,G71*J71)</f>
        <v>4080</v>
      </c>
      <c r="L71" s="23" t="n">
        <f aca="false">IF(OR(F71="Fechado ganho",F71="Fechado perdido"),"",Painel!$B$3-H71)</f>
        <v>12</v>
      </c>
      <c r="M71" s="23" t="str">
        <f aca="false">IF(AND(F71="Fechado perdido",I71=""),"Falta motivo da perda",IF(OR(F71="Fechado ganho",F71="Fechado perdido"),"",IF(Painel!$B$3-H71&gt;7,"Sem contato há mais de 7 dias","OK")))</f>
        <v>Sem contato há mais de 7 dias</v>
      </c>
      <c r="N71" s="23" t="n">
        <f aca="false">MONTH(D71)</f>
        <v>10</v>
      </c>
    </row>
    <row r="72" customFormat="false" ht="15" hidden="false" customHeight="false" outlineLevel="0" collapsed="false">
      <c r="A72" s="19" t="s">
        <v>230</v>
      </c>
      <c r="B72" s="19" t="s">
        <v>231</v>
      </c>
      <c r="C72" s="19" t="s">
        <v>31</v>
      </c>
      <c r="D72" s="4" t="n">
        <v>46298</v>
      </c>
      <c r="E72" s="19" t="s">
        <v>91</v>
      </c>
      <c r="F72" s="19" t="s">
        <v>19</v>
      </c>
      <c r="G72" s="20" t="n">
        <v>15300</v>
      </c>
      <c r="H72" s="4" t="n">
        <v>46300</v>
      </c>
      <c r="I72" s="19"/>
      <c r="J72" s="21" t="n">
        <f aca="false">IFERROR(VLOOKUP(F72,Listas!$A$2:$B$6,2,FALSE()),0)</f>
        <v>0.1</v>
      </c>
      <c r="K72" s="22" t="n">
        <f aca="false">IF(OR(F72="Fechado ganho",F72="Fechado perdido"),0,G72*J72)</f>
        <v>1530</v>
      </c>
      <c r="L72" s="23" t="n">
        <f aca="false">IF(OR(F72="Fechado ganho",F72="Fechado perdido"),"",Painel!$B$3-H72)</f>
        <v>10</v>
      </c>
      <c r="M72" s="23" t="str">
        <f aca="false">IF(AND(F72="Fechado perdido",I72=""),"Falta motivo da perda",IF(OR(F72="Fechado ganho",F72="Fechado perdido"),"",IF(Painel!$B$3-H72&gt;7,"Sem contato há mais de 7 dias","OK")))</f>
        <v>Sem contato há mais de 7 dias</v>
      </c>
      <c r="N72" s="23" t="n">
        <f aca="false">MONTH(D72)</f>
        <v>10</v>
      </c>
    </row>
    <row r="73" customFormat="false" ht="15" hidden="false" customHeight="false" outlineLevel="0" collapsed="false">
      <c r="A73" s="19" t="s">
        <v>232</v>
      </c>
      <c r="B73" s="19" t="s">
        <v>233</v>
      </c>
      <c r="C73" s="19" t="s">
        <v>28</v>
      </c>
      <c r="D73" s="4" t="n">
        <v>46298</v>
      </c>
      <c r="E73" s="19" t="s">
        <v>91</v>
      </c>
      <c r="F73" s="19" t="s">
        <v>19</v>
      </c>
      <c r="G73" s="20" t="n">
        <v>18500</v>
      </c>
      <c r="H73" s="4" t="n">
        <v>46309</v>
      </c>
      <c r="I73" s="19"/>
      <c r="J73" s="21" t="n">
        <f aca="false">IFERROR(VLOOKUP(F73,Listas!$A$2:$B$6,2,FALSE()),0)</f>
        <v>0.1</v>
      </c>
      <c r="K73" s="22" t="n">
        <f aca="false">IF(OR(F73="Fechado ganho",F73="Fechado perdido"),0,G73*J73)</f>
        <v>1850</v>
      </c>
      <c r="L73" s="23" t="n">
        <f aca="false">IF(OR(F73="Fechado ganho",F73="Fechado perdido"),"",Painel!$B$3-H73)</f>
        <v>1</v>
      </c>
      <c r="M73" s="23" t="str">
        <f aca="false">IF(AND(F73="Fechado perdido",I73=""),"Falta motivo da perda",IF(OR(F73="Fechado ganho",F73="Fechado perdido"),"",IF(Painel!$B$3-H73&gt;7,"Sem contato há mais de 7 dias","OK")))</f>
        <v>OK</v>
      </c>
      <c r="N73" s="23" t="n">
        <f aca="false">MONTH(D73)</f>
        <v>10</v>
      </c>
    </row>
    <row r="74" customFormat="false" ht="15" hidden="false" customHeight="false" outlineLevel="0" collapsed="false">
      <c r="A74" s="19" t="s">
        <v>234</v>
      </c>
      <c r="B74" s="19" t="s">
        <v>235</v>
      </c>
      <c r="C74" s="19" t="s">
        <v>28</v>
      </c>
      <c r="D74" s="4" t="n">
        <v>46298</v>
      </c>
      <c r="E74" s="19" t="s">
        <v>88</v>
      </c>
      <c r="F74" s="19" t="s">
        <v>19</v>
      </c>
      <c r="G74" s="20" t="n">
        <v>24400</v>
      </c>
      <c r="H74" s="4" t="n">
        <v>46302</v>
      </c>
      <c r="I74" s="19"/>
      <c r="J74" s="21" t="n">
        <f aca="false">IFERROR(VLOOKUP(F74,Listas!$A$2:$B$6,2,FALSE()),0)</f>
        <v>0.1</v>
      </c>
      <c r="K74" s="22" t="n">
        <f aca="false">IF(OR(F74="Fechado ganho",F74="Fechado perdido"),0,G74*J74)</f>
        <v>2440</v>
      </c>
      <c r="L74" s="23" t="n">
        <f aca="false">IF(OR(F74="Fechado ganho",F74="Fechado perdido"),"",Painel!$B$3-H74)</f>
        <v>8</v>
      </c>
      <c r="M74" s="23" t="str">
        <f aca="false">IF(AND(F74="Fechado perdido",I74=""),"Falta motivo da perda",IF(OR(F74="Fechado ganho",F74="Fechado perdido"),"",IF(Painel!$B$3-H74&gt;7,"Sem contato há mais de 7 dias","OK")))</f>
        <v>Sem contato há mais de 7 dias</v>
      </c>
      <c r="N74" s="23" t="n">
        <f aca="false">MONTH(D74)</f>
        <v>10</v>
      </c>
    </row>
    <row r="75" customFormat="false" ht="15" hidden="false" customHeight="false" outlineLevel="0" collapsed="false">
      <c r="A75" s="19" t="s">
        <v>236</v>
      </c>
      <c r="B75" s="19" t="s">
        <v>237</v>
      </c>
      <c r="C75" s="19" t="s">
        <v>28</v>
      </c>
      <c r="D75" s="4" t="n">
        <v>46301</v>
      </c>
      <c r="E75" s="19" t="s">
        <v>91</v>
      </c>
      <c r="F75" s="19" t="s">
        <v>20</v>
      </c>
      <c r="G75" s="20" t="n">
        <v>14400</v>
      </c>
      <c r="H75" s="4" t="n">
        <v>46308</v>
      </c>
      <c r="I75" s="19"/>
      <c r="J75" s="21" t="n">
        <f aca="false">IFERROR(VLOOKUP(F75,Listas!$A$2:$B$6,2,FALSE()),0)</f>
        <v>0.4</v>
      </c>
      <c r="K75" s="22" t="n">
        <f aca="false">IF(OR(F75="Fechado ganho",F75="Fechado perdido"),0,G75*J75)</f>
        <v>5760</v>
      </c>
      <c r="L75" s="23" t="n">
        <f aca="false">IF(OR(F75="Fechado ganho",F75="Fechado perdido"),"",Painel!$B$3-H75)</f>
        <v>2</v>
      </c>
      <c r="M75" s="23" t="str">
        <f aca="false">IF(AND(F75="Fechado perdido",I75=""),"Falta motivo da perda",IF(OR(F75="Fechado ganho",F75="Fechado perdido"),"",IF(Painel!$B$3-H75&gt;7,"Sem contato há mais de 7 dias","OK")))</f>
        <v>OK</v>
      </c>
      <c r="N75" s="23" t="n">
        <f aca="false">MONTH(D75)</f>
        <v>10</v>
      </c>
    </row>
    <row r="76" customFormat="false" ht="15" hidden="false" customHeight="false" outlineLevel="0" collapsed="false">
      <c r="A76" s="19" t="s">
        <v>238</v>
      </c>
      <c r="B76" s="19" t="s">
        <v>239</v>
      </c>
      <c r="C76" s="19" t="s">
        <v>29</v>
      </c>
      <c r="D76" s="4" t="n">
        <v>46303</v>
      </c>
      <c r="E76" s="19" t="s">
        <v>88</v>
      </c>
      <c r="F76" s="19" t="s">
        <v>20</v>
      </c>
      <c r="G76" s="20" t="n">
        <v>16900</v>
      </c>
      <c r="H76" s="4" t="n">
        <v>46306</v>
      </c>
      <c r="I76" s="19"/>
      <c r="J76" s="21" t="n">
        <f aca="false">IFERROR(VLOOKUP(F76,Listas!$A$2:$B$6,2,FALSE()),0)</f>
        <v>0.4</v>
      </c>
      <c r="K76" s="22" t="n">
        <f aca="false">IF(OR(F76="Fechado ganho",F76="Fechado perdido"),0,G76*J76)</f>
        <v>6760</v>
      </c>
      <c r="L76" s="23" t="n">
        <f aca="false">IF(OR(F76="Fechado ganho",F76="Fechado perdido"),"",Painel!$B$3-H76)</f>
        <v>4</v>
      </c>
      <c r="M76" s="23" t="str">
        <f aca="false">IF(AND(F76="Fechado perdido",I76=""),"Falta motivo da perda",IF(OR(F76="Fechado ganho",F76="Fechado perdido"),"",IF(Painel!$B$3-H76&gt;7,"Sem contato há mais de 7 dias","OK")))</f>
        <v>OK</v>
      </c>
      <c r="N76" s="23" t="n">
        <f aca="false">MONTH(D76)</f>
        <v>10</v>
      </c>
    </row>
    <row r="77" customFormat="false" ht="15" hidden="false" customHeight="false" outlineLevel="0" collapsed="false">
      <c r="A77" s="19" t="s">
        <v>240</v>
      </c>
      <c r="B77" s="19" t="s">
        <v>241</v>
      </c>
      <c r="C77" s="19" t="s">
        <v>30</v>
      </c>
      <c r="D77" s="4" t="n">
        <v>46304</v>
      </c>
      <c r="E77" s="19" t="s">
        <v>91</v>
      </c>
      <c r="F77" s="19" t="s">
        <v>19</v>
      </c>
      <c r="G77" s="20" t="n">
        <v>11200</v>
      </c>
      <c r="H77" s="4" t="n">
        <v>46309</v>
      </c>
      <c r="I77" s="19"/>
      <c r="J77" s="21" t="n">
        <f aca="false">IFERROR(VLOOKUP(F77,Listas!$A$2:$B$6,2,FALSE()),0)</f>
        <v>0.1</v>
      </c>
      <c r="K77" s="22" t="n">
        <f aca="false">IF(OR(F77="Fechado ganho",F77="Fechado perdido"),0,G77*J77)</f>
        <v>1120</v>
      </c>
      <c r="L77" s="23" t="n">
        <f aca="false">IF(OR(F77="Fechado ganho",F77="Fechado perdido"),"",Painel!$B$3-H77)</f>
        <v>1</v>
      </c>
      <c r="M77" s="23" t="str">
        <f aca="false">IF(AND(F77="Fechado perdido",I77=""),"Falta motivo da perda",IF(OR(F77="Fechado ganho",F77="Fechado perdido"),"",IF(Painel!$B$3-H77&gt;7,"Sem contato há mais de 7 dias","OK")))</f>
        <v>OK</v>
      </c>
      <c r="N77" s="23" t="n">
        <f aca="false">MONTH(D77)</f>
        <v>10</v>
      </c>
    </row>
    <row r="78" customFormat="false" ht="15" hidden="false" customHeight="false" outlineLevel="0" collapsed="false">
      <c r="A78" s="19" t="s">
        <v>242</v>
      </c>
      <c r="B78" s="19" t="s">
        <v>243</v>
      </c>
      <c r="C78" s="19" t="s">
        <v>28</v>
      </c>
      <c r="D78" s="4" t="n">
        <v>46305</v>
      </c>
      <c r="E78" s="19" t="s">
        <v>88</v>
      </c>
      <c r="F78" s="19" t="s">
        <v>20</v>
      </c>
      <c r="G78" s="20" t="n">
        <v>15300</v>
      </c>
      <c r="H78" s="4" t="n">
        <v>46309</v>
      </c>
      <c r="I78" s="19"/>
      <c r="J78" s="21" t="n">
        <f aca="false">IFERROR(VLOOKUP(F78,Listas!$A$2:$B$6,2,FALSE()),0)</f>
        <v>0.4</v>
      </c>
      <c r="K78" s="22" t="n">
        <f aca="false">IF(OR(F78="Fechado ganho",F78="Fechado perdido"),0,G78*J78)</f>
        <v>6120</v>
      </c>
      <c r="L78" s="23" t="n">
        <f aca="false">IF(OR(F78="Fechado ganho",F78="Fechado perdido"),"",Painel!$B$3-H78)</f>
        <v>1</v>
      </c>
      <c r="M78" s="23" t="str">
        <f aca="false">IF(AND(F78="Fechado perdido",I78=""),"Falta motivo da perda",IF(OR(F78="Fechado ganho",F78="Fechado perdido"),"",IF(Painel!$B$3-H78&gt;7,"Sem contato há mais de 7 dias","OK")))</f>
        <v>OK</v>
      </c>
      <c r="N78" s="23" t="n">
        <f aca="false">MONTH(D78)</f>
        <v>10</v>
      </c>
    </row>
    <row r="79" customFormat="false" ht="15" hidden="false" customHeight="false" outlineLevel="0" collapsed="false">
      <c r="A79" s="19" t="s">
        <v>244</v>
      </c>
      <c r="B79" s="19" t="s">
        <v>245</v>
      </c>
      <c r="C79" s="19" t="s">
        <v>28</v>
      </c>
      <c r="D79" s="4" t="n">
        <v>46306</v>
      </c>
      <c r="E79" s="19" t="s">
        <v>88</v>
      </c>
      <c r="F79" s="19" t="s">
        <v>20</v>
      </c>
      <c r="G79" s="20" t="n">
        <v>8200</v>
      </c>
      <c r="H79" s="4" t="n">
        <v>46306</v>
      </c>
      <c r="I79" s="19"/>
      <c r="J79" s="21" t="n">
        <f aca="false">IFERROR(VLOOKUP(F79,Listas!$A$2:$B$6,2,FALSE()),0)</f>
        <v>0.4</v>
      </c>
      <c r="K79" s="22" t="n">
        <f aca="false">IF(OR(F79="Fechado ganho",F79="Fechado perdido"),0,G79*J79)</f>
        <v>3280</v>
      </c>
      <c r="L79" s="23" t="n">
        <f aca="false">IF(OR(F79="Fechado ganho",F79="Fechado perdido"),"",Painel!$B$3-H79)</f>
        <v>4</v>
      </c>
      <c r="M79" s="23" t="str">
        <f aca="false">IF(AND(F79="Fechado perdido",I79=""),"Falta motivo da perda",IF(OR(F79="Fechado ganho",F79="Fechado perdido"),"",IF(Painel!$B$3-H79&gt;7,"Sem contato há mais de 7 dias","OK")))</f>
        <v>OK</v>
      </c>
      <c r="N79" s="23" t="n">
        <f aca="false">MONTH(D79)</f>
        <v>10</v>
      </c>
    </row>
    <row r="80" customFormat="false" ht="15" hidden="false" customHeight="false" outlineLevel="0" collapsed="false">
      <c r="A80" s="19" t="s">
        <v>246</v>
      </c>
      <c r="B80" s="19" t="s">
        <v>247</v>
      </c>
      <c r="C80" s="19" t="s">
        <v>28</v>
      </c>
      <c r="D80" s="4" t="n">
        <v>46306</v>
      </c>
      <c r="E80" s="19" t="s">
        <v>91</v>
      </c>
      <c r="F80" s="19" t="s">
        <v>20</v>
      </c>
      <c r="G80" s="20" t="n">
        <v>19000</v>
      </c>
      <c r="H80" s="4" t="n">
        <v>46306</v>
      </c>
      <c r="I80" s="19"/>
      <c r="J80" s="21" t="n">
        <f aca="false">IFERROR(VLOOKUP(F80,Listas!$A$2:$B$6,2,FALSE()),0)</f>
        <v>0.4</v>
      </c>
      <c r="K80" s="22" t="n">
        <f aca="false">IF(OR(F80="Fechado ganho",F80="Fechado perdido"),0,G80*J80)</f>
        <v>7600</v>
      </c>
      <c r="L80" s="23" t="n">
        <f aca="false">IF(OR(F80="Fechado ganho",F80="Fechado perdido"),"",Painel!$B$3-H80)</f>
        <v>4</v>
      </c>
      <c r="M80" s="23" t="str">
        <f aca="false">IF(AND(F80="Fechado perdido",I80=""),"Falta motivo da perda",IF(OR(F80="Fechado ganho",F80="Fechado perdido"),"",IF(Painel!$B$3-H80&gt;7,"Sem contato há mais de 7 dias","OK")))</f>
        <v>OK</v>
      </c>
      <c r="N80" s="23" t="n">
        <f aca="false">MONTH(D80)</f>
        <v>10</v>
      </c>
    </row>
    <row r="81" customFormat="false" ht="15" hidden="false" customHeight="false" outlineLevel="0" collapsed="false">
      <c r="A81" s="19" t="s">
        <v>248</v>
      </c>
      <c r="B81" s="19" t="s">
        <v>249</v>
      </c>
      <c r="C81" s="19" t="s">
        <v>28</v>
      </c>
      <c r="D81" s="4" t="n">
        <v>46307</v>
      </c>
      <c r="E81" s="19" t="s">
        <v>88</v>
      </c>
      <c r="F81" s="19" t="s">
        <v>21</v>
      </c>
      <c r="G81" s="20" t="n">
        <v>21000</v>
      </c>
      <c r="H81" s="4" t="n">
        <v>46309</v>
      </c>
      <c r="I81" s="19"/>
      <c r="J81" s="21" t="n">
        <f aca="false">IFERROR(VLOOKUP(F81,Listas!$A$2:$B$6,2,FALSE()),0)</f>
        <v>0.7</v>
      </c>
      <c r="K81" s="22" t="n">
        <f aca="false">IF(OR(F81="Fechado ganho",F81="Fechado perdido"),0,G81*J81)</f>
        <v>14700</v>
      </c>
      <c r="L81" s="23" t="n">
        <f aca="false">IF(OR(F81="Fechado ganho",F81="Fechado perdido"),"",Painel!$B$3-H81)</f>
        <v>1</v>
      </c>
      <c r="M81" s="23" t="str">
        <f aca="false">IF(AND(F81="Fechado perdido",I81=""),"Falta motivo da perda",IF(OR(F81="Fechado ganho",F81="Fechado perdido"),"",IF(Painel!$B$3-H81&gt;7,"Sem contato há mais de 7 dias","OK")))</f>
        <v>OK</v>
      </c>
      <c r="N81" s="23" t="n">
        <f aca="false">MONTH(D81)</f>
        <v>10</v>
      </c>
    </row>
    <row r="82" customFormat="false" ht="15" hidden="false" customHeight="false" outlineLevel="0" collapsed="false">
      <c r="A82" s="19" t="s">
        <v>250</v>
      </c>
      <c r="B82" s="19" t="s">
        <v>251</v>
      </c>
      <c r="C82" s="19" t="s">
        <v>30</v>
      </c>
      <c r="D82" s="4" t="n">
        <v>46308</v>
      </c>
      <c r="E82" s="19" t="s">
        <v>88</v>
      </c>
      <c r="F82" s="19" t="s">
        <v>21</v>
      </c>
      <c r="G82" s="20" t="n">
        <v>13700</v>
      </c>
      <c r="H82" s="4" t="n">
        <v>46308</v>
      </c>
      <c r="I82" s="19"/>
      <c r="J82" s="21" t="n">
        <f aca="false">IFERROR(VLOOKUP(F82,Listas!$A$2:$B$6,2,FALSE()),0)</f>
        <v>0.7</v>
      </c>
      <c r="K82" s="22" t="n">
        <f aca="false">IF(OR(F82="Fechado ganho",F82="Fechado perdido"),0,G82*J82)</f>
        <v>9590</v>
      </c>
      <c r="L82" s="23" t="n">
        <f aca="false">IF(OR(F82="Fechado ganho",F82="Fechado perdido"),"",Painel!$B$3-H82)</f>
        <v>2</v>
      </c>
      <c r="M82" s="23" t="str">
        <f aca="false">IF(AND(F82="Fechado perdido",I82=""),"Falta motivo da perda",IF(OR(F82="Fechado ganho",F82="Fechado perdido"),"",IF(Painel!$B$3-H82&gt;7,"Sem contato há mais de 7 dias","OK")))</f>
        <v>OK</v>
      </c>
      <c r="N82" s="23" t="n">
        <f aca="false">MONTH(D82)</f>
        <v>10</v>
      </c>
    </row>
  </sheetData>
  <conditionalFormatting sqref="M3:M82">
    <cfRule type="expression" priority="2" aboveAverage="0" equalAverage="0" bottom="0" percent="0" rank="0" text="" dxfId="0">
      <formula>OR(LEFT(M3,3)="Sem",LEFT(M3,5)="Falta")</formula>
    </cfRule>
    <cfRule type="expression" priority="3" aboveAverage="0" equalAverage="0" bottom="0" percent="0" rank="0" text="" dxfId="1">
      <formula>M3="OK"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18" t="s">
        <v>252</v>
      </c>
    </row>
    <row r="2" customFormat="false" ht="31.5" hidden="false" customHeight="true" outlineLevel="0" collapsed="false">
      <c r="A2" s="10" t="s">
        <v>76</v>
      </c>
      <c r="B2" s="10" t="s">
        <v>253</v>
      </c>
      <c r="C2" s="10" t="s">
        <v>77</v>
      </c>
      <c r="D2" s="10" t="s">
        <v>254</v>
      </c>
      <c r="E2" s="10" t="s">
        <v>255</v>
      </c>
      <c r="F2" s="10" t="s">
        <v>33</v>
      </c>
      <c r="G2" s="10" t="s">
        <v>256</v>
      </c>
      <c r="H2" s="10" t="s">
        <v>84</v>
      </c>
    </row>
    <row r="3" customFormat="false" ht="15" hidden="false" customHeight="false" outlineLevel="0" collapsed="false">
      <c r="A3" s="19" t="s">
        <v>257</v>
      </c>
      <c r="B3" s="19" t="s">
        <v>86</v>
      </c>
      <c r="C3" s="23" t="str">
        <f aca="false">IFERROR(INDEX(Negocios!$B$3:$B$82,MATCH(B3,Negocios!$A$3:$A$82,0)),"Negócio não encontrado")</f>
        <v>Cliente 067</v>
      </c>
      <c r="D3" s="4" t="n">
        <v>46299</v>
      </c>
      <c r="E3" s="19" t="s">
        <v>258</v>
      </c>
      <c r="F3" s="19" t="s">
        <v>39</v>
      </c>
      <c r="G3" s="19" t="s">
        <v>259</v>
      </c>
      <c r="H3" s="23" t="str">
        <f aca="false">IF(F3="Concluída e validada",IF(G3="Sim","OK","Falta checklist"),IF(D3&lt;Painel!$B$3,"Atrasada","No prazo"))</f>
        <v>Falta checklist</v>
      </c>
    </row>
    <row r="4" customFormat="false" ht="15" hidden="false" customHeight="false" outlineLevel="0" collapsed="false">
      <c r="A4" s="19" t="s">
        <v>260</v>
      </c>
      <c r="B4" s="19" t="s">
        <v>89</v>
      </c>
      <c r="C4" s="23" t="str">
        <f aca="false">IFERROR(INDEX(Negocios!$B$3:$B$82,MATCH(B4,Negocios!$A$3:$A$82,0)),"Negócio não encontrado")</f>
        <v>Cliente 022</v>
      </c>
      <c r="D4" s="4" t="n">
        <v>46255</v>
      </c>
      <c r="E4" s="19" t="s">
        <v>261</v>
      </c>
      <c r="F4" s="19" t="s">
        <v>39</v>
      </c>
      <c r="G4" s="19" t="s">
        <v>262</v>
      </c>
      <c r="H4" s="23" t="str">
        <f aca="false">IF(F4="Concluída e validada",IF(G4="Sim","OK","Falta checklist"),IF(D4&lt;Painel!$B$3,"Atrasada","No prazo"))</f>
        <v>OK</v>
      </c>
    </row>
    <row r="5" customFormat="false" ht="15" hidden="false" customHeight="false" outlineLevel="0" collapsed="false">
      <c r="A5" s="19" t="s">
        <v>263</v>
      </c>
      <c r="B5" s="19" t="s">
        <v>92</v>
      </c>
      <c r="C5" s="23" t="str">
        <f aca="false">IFERROR(INDEX(Negocios!$B$3:$B$82,MATCH(B5,Negocios!$A$3:$A$82,0)),"Negócio não encontrado")</f>
        <v>Cliente 007</v>
      </c>
      <c r="D5" s="4" t="n">
        <v>46285</v>
      </c>
      <c r="E5" s="19" t="s">
        <v>261</v>
      </c>
      <c r="F5" s="19" t="s">
        <v>39</v>
      </c>
      <c r="G5" s="19" t="s">
        <v>262</v>
      </c>
      <c r="H5" s="23" t="str">
        <f aca="false">IF(F5="Concluída e validada",IF(G5="Sim","OK","Falta checklist"),IF(D5&lt;Painel!$B$3,"Atrasada","No prazo"))</f>
        <v>OK</v>
      </c>
    </row>
    <row r="6" customFormat="false" ht="15" hidden="false" customHeight="false" outlineLevel="0" collapsed="false">
      <c r="A6" s="19" t="s">
        <v>264</v>
      </c>
      <c r="B6" s="19" t="s">
        <v>94</v>
      </c>
      <c r="C6" s="23" t="str">
        <f aca="false">IFERROR(INDEX(Negocios!$B$3:$B$82,MATCH(B6,Negocios!$A$3:$A$82,0)),"Negócio não encontrado")</f>
        <v>Cliente 023</v>
      </c>
      <c r="D6" s="4" t="n">
        <v>46254</v>
      </c>
      <c r="E6" s="19" t="s">
        <v>258</v>
      </c>
      <c r="F6" s="19" t="s">
        <v>39</v>
      </c>
      <c r="G6" s="19" t="s">
        <v>262</v>
      </c>
      <c r="H6" s="23" t="str">
        <f aca="false">IF(F6="Concluída e validada",IF(G6="Sim","OK","Falta checklist"),IF(D6&lt;Painel!$B$3,"Atrasada","No prazo"))</f>
        <v>OK</v>
      </c>
    </row>
    <row r="7" customFormat="false" ht="15" hidden="false" customHeight="false" outlineLevel="0" collapsed="false">
      <c r="A7" s="19" t="s">
        <v>265</v>
      </c>
      <c r="B7" s="19" t="s">
        <v>96</v>
      </c>
      <c r="C7" s="23" t="str">
        <f aca="false">IFERROR(INDEX(Negocios!$B$3:$B$82,MATCH(B7,Negocios!$A$3:$A$82,0)),"Negócio não encontrado")</f>
        <v>Cliente 066</v>
      </c>
      <c r="D7" s="4" t="n">
        <v>46308</v>
      </c>
      <c r="E7" s="19" t="s">
        <v>266</v>
      </c>
      <c r="F7" s="19" t="s">
        <v>38</v>
      </c>
      <c r="G7" s="19" t="s">
        <v>259</v>
      </c>
      <c r="H7" s="23" t="str">
        <f aca="false">IF(F7="Concluída e validada",IF(G7="Sim","OK","Falta checklist"),IF(D7&lt;Painel!$B$3,"Atrasada","No prazo"))</f>
        <v>Atrasada</v>
      </c>
    </row>
    <row r="8" customFormat="false" ht="15" hidden="false" customHeight="false" outlineLevel="0" collapsed="false">
      <c r="A8" s="19" t="s">
        <v>267</v>
      </c>
      <c r="B8" s="19" t="s">
        <v>98</v>
      </c>
      <c r="C8" s="23" t="str">
        <f aca="false">IFERROR(INDEX(Negocios!$B$3:$B$82,MATCH(B8,Negocios!$A$3:$A$82,0)),"Negócio não encontrado")</f>
        <v>Cliente 027</v>
      </c>
      <c r="D8" s="4" t="n">
        <v>46269</v>
      </c>
      <c r="E8" s="19" t="s">
        <v>258</v>
      </c>
      <c r="F8" s="19" t="s">
        <v>39</v>
      </c>
      <c r="G8" s="19" t="s">
        <v>262</v>
      </c>
      <c r="H8" s="23" t="str">
        <f aca="false">IF(F8="Concluída e validada",IF(G8="Sim","OK","Falta checklist"),IF(D8&lt;Painel!$B$3,"Atrasada","No prazo"))</f>
        <v>OK</v>
      </c>
    </row>
    <row r="9" customFormat="false" ht="15" hidden="false" customHeight="false" outlineLevel="0" collapsed="false">
      <c r="A9" s="19" t="s">
        <v>268</v>
      </c>
      <c r="B9" s="19" t="s">
        <v>100</v>
      </c>
      <c r="C9" s="23" t="str">
        <f aca="false">IFERROR(INDEX(Negocios!$B$3:$B$82,MATCH(B9,Negocios!$A$3:$A$82,0)),"Negócio não encontrado")</f>
        <v>Cliente 052</v>
      </c>
      <c r="D9" s="4" t="n">
        <v>46310</v>
      </c>
      <c r="E9" s="19" t="s">
        <v>258</v>
      </c>
      <c r="F9" s="19" t="s">
        <v>38</v>
      </c>
      <c r="G9" s="19" t="s">
        <v>259</v>
      </c>
      <c r="H9" s="23" t="str">
        <f aca="false">IF(F9="Concluída e validada",IF(G9="Sim","OK","Falta checklist"),IF(D9&lt;Painel!$B$3,"Atrasada","No prazo"))</f>
        <v>No prazo</v>
      </c>
    </row>
    <row r="10" customFormat="false" ht="15" hidden="false" customHeight="false" outlineLevel="0" collapsed="false">
      <c r="A10" s="19" t="s">
        <v>269</v>
      </c>
      <c r="B10" s="19" t="s">
        <v>102</v>
      </c>
      <c r="C10" s="23" t="str">
        <f aca="false">IFERROR(INDEX(Negocios!$B$3:$B$82,MATCH(B10,Negocios!$A$3:$A$82,0)),"Negócio não encontrado")</f>
        <v>Cliente 008</v>
      </c>
      <c r="D10" s="4" t="n">
        <v>46268</v>
      </c>
      <c r="E10" s="19" t="s">
        <v>266</v>
      </c>
      <c r="F10" s="19" t="s">
        <v>39</v>
      </c>
      <c r="G10" s="19" t="s">
        <v>262</v>
      </c>
      <c r="H10" s="23" t="str">
        <f aca="false">IF(F10="Concluída e validada",IF(G10="Sim","OK","Falta checklist"),IF(D10&lt;Painel!$B$3,"Atrasada","No prazo"))</f>
        <v>OK</v>
      </c>
    </row>
    <row r="11" customFormat="false" ht="15" hidden="false" customHeight="false" outlineLevel="0" collapsed="false">
      <c r="A11" s="19" t="s">
        <v>270</v>
      </c>
      <c r="B11" s="19" t="s">
        <v>110</v>
      </c>
      <c r="C11" s="23" t="str">
        <f aca="false">IFERROR(INDEX(Negocios!$B$3:$B$82,MATCH(B11,Negocios!$A$3:$A$82,0)),"Negócio não encontrado")</f>
        <v>Cliente 075</v>
      </c>
      <c r="D11" s="4" t="n">
        <v>46314</v>
      </c>
      <c r="E11" s="19" t="s">
        <v>266</v>
      </c>
      <c r="F11" s="19" t="s">
        <v>36</v>
      </c>
      <c r="G11" s="19" t="s">
        <v>259</v>
      </c>
      <c r="H11" s="23" t="str">
        <f aca="false">IF(F11="Concluída e validada",IF(G11="Sim","OK","Falta checklist"),IF(D11&lt;Painel!$B$3,"Atrasada","No prazo"))</f>
        <v>No prazo</v>
      </c>
    </row>
    <row r="12" customFormat="false" ht="15" hidden="false" customHeight="false" outlineLevel="0" collapsed="false">
      <c r="A12" s="19" t="s">
        <v>271</v>
      </c>
      <c r="B12" s="19" t="s">
        <v>112</v>
      </c>
      <c r="C12" s="23" t="str">
        <f aca="false">IFERROR(INDEX(Negocios!$B$3:$B$82,MATCH(B12,Negocios!$A$3:$A$82,0)),"Negócio não encontrado")</f>
        <v>Cliente 015</v>
      </c>
      <c r="D12" s="4" t="n">
        <v>46307</v>
      </c>
      <c r="E12" s="19" t="s">
        <v>258</v>
      </c>
      <c r="F12" s="19" t="s">
        <v>37</v>
      </c>
      <c r="G12" s="19" t="s">
        <v>259</v>
      </c>
      <c r="H12" s="23" t="str">
        <f aca="false">IF(F12="Concluída e validada",IF(G12="Sim","OK","Falta checklist"),IF(D12&lt;Painel!$B$3,"Atrasada","No prazo"))</f>
        <v>Atrasada</v>
      </c>
    </row>
    <row r="13" customFormat="false" ht="15" hidden="false" customHeight="false" outlineLevel="0" collapsed="false">
      <c r="A13" s="19" t="s">
        <v>272</v>
      </c>
      <c r="B13" s="19" t="s">
        <v>114</v>
      </c>
      <c r="C13" s="23" t="str">
        <f aca="false">IFERROR(INDEX(Negocios!$B$3:$B$82,MATCH(B13,Negocios!$A$3:$A$82,0)),"Negócio não encontrado")</f>
        <v>Cliente 074</v>
      </c>
      <c r="D13" s="4" t="n">
        <v>46312</v>
      </c>
      <c r="E13" s="19" t="s">
        <v>266</v>
      </c>
      <c r="F13" s="19" t="s">
        <v>36</v>
      </c>
      <c r="G13" s="19" t="s">
        <v>259</v>
      </c>
      <c r="H13" s="23" t="str">
        <f aca="false">IF(F13="Concluída e validada",IF(G13="Sim","OK","Falta checklist"),IF(D13&lt;Painel!$B$3,"Atrasada","No prazo"))</f>
        <v>No prazo</v>
      </c>
    </row>
    <row r="14" customFormat="false" ht="15" hidden="false" customHeight="false" outlineLevel="0" collapsed="false">
      <c r="A14" s="19" t="s">
        <v>273</v>
      </c>
      <c r="B14" s="19" t="s">
        <v>116</v>
      </c>
      <c r="C14" s="23" t="str">
        <f aca="false">IFERROR(INDEX(Negocios!$B$3:$B$82,MATCH(B14,Negocios!$A$3:$A$82,0)),"Negócio não encontrado")</f>
        <v>Cliente 033</v>
      </c>
      <c r="D14" s="4" t="n">
        <v>46312</v>
      </c>
      <c r="E14" s="19" t="s">
        <v>266</v>
      </c>
      <c r="F14" s="19" t="s">
        <v>37</v>
      </c>
      <c r="G14" s="19" t="s">
        <v>259</v>
      </c>
      <c r="H14" s="23" t="str">
        <f aca="false">IF(F14="Concluída e validada",IF(G14="Sim","OK","Falta checklist"),IF(D14&lt;Painel!$B$3,"Atrasada","No prazo"))</f>
        <v>No prazo</v>
      </c>
    </row>
    <row r="15" customFormat="false" ht="15" hidden="false" customHeight="false" outlineLevel="0" collapsed="false">
      <c r="A15" s="19" t="s">
        <v>274</v>
      </c>
      <c r="B15" s="19" t="s">
        <v>120</v>
      </c>
      <c r="C15" s="23" t="str">
        <f aca="false">IFERROR(INDEX(Negocios!$B$3:$B$82,MATCH(B15,Negocios!$A$3:$A$82,0)),"Negócio não encontrado")</f>
        <v>Cliente 065</v>
      </c>
      <c r="D15" s="4" t="n">
        <v>46271</v>
      </c>
      <c r="E15" s="19" t="s">
        <v>258</v>
      </c>
      <c r="F15" s="19" t="s">
        <v>39</v>
      </c>
      <c r="G15" s="19" t="s">
        <v>262</v>
      </c>
      <c r="H15" s="23" t="str">
        <f aca="false">IF(F15="Concluída e validada",IF(G15="Sim","OK","Falta checklist"),IF(D15&lt;Painel!$B$3,"Atrasada","No prazo"))</f>
        <v>OK</v>
      </c>
    </row>
    <row r="16" customFormat="false" ht="15" hidden="false" customHeight="false" outlineLevel="0" collapsed="false">
      <c r="A16" s="19" t="s">
        <v>275</v>
      </c>
      <c r="B16" s="19" t="s">
        <v>122</v>
      </c>
      <c r="C16" s="23" t="str">
        <f aca="false">IFERROR(INDEX(Negocios!$B$3:$B$82,MATCH(B16,Negocios!$A$3:$A$82,0)),"Negócio não encontrado")</f>
        <v>Cliente 001</v>
      </c>
      <c r="D16" s="4" t="n">
        <v>46282</v>
      </c>
      <c r="E16" s="19" t="s">
        <v>266</v>
      </c>
      <c r="F16" s="19" t="s">
        <v>39</v>
      </c>
      <c r="G16" s="19" t="s">
        <v>262</v>
      </c>
      <c r="H16" s="23" t="str">
        <f aca="false">IF(F16="Concluída e validada",IF(G16="Sim","OK","Falta checklist"),IF(D16&lt;Painel!$B$3,"Atrasada","No prazo"))</f>
        <v>OK</v>
      </c>
    </row>
    <row r="17" customFormat="false" ht="15" hidden="false" customHeight="false" outlineLevel="0" collapsed="false">
      <c r="A17" s="19" t="s">
        <v>276</v>
      </c>
      <c r="B17" s="19" t="s">
        <v>124</v>
      </c>
      <c r="C17" s="23" t="str">
        <f aca="false">IFERROR(INDEX(Negocios!$B$3:$B$82,MATCH(B17,Negocios!$A$3:$A$82,0)),"Negócio não encontrado")</f>
        <v>Cliente 050</v>
      </c>
      <c r="D17" s="4" t="n">
        <v>46257</v>
      </c>
      <c r="E17" s="19" t="s">
        <v>261</v>
      </c>
      <c r="F17" s="19" t="s">
        <v>39</v>
      </c>
      <c r="G17" s="19" t="s">
        <v>262</v>
      </c>
      <c r="H17" s="23" t="str">
        <f aca="false">IF(F17="Concluída e validada",IF(G17="Sim","OK","Falta checklist"),IF(D17&lt;Painel!$B$3,"Atrasada","No prazo"))</f>
        <v>OK</v>
      </c>
    </row>
    <row r="18" customFormat="false" ht="15" hidden="false" customHeight="false" outlineLevel="0" collapsed="false">
      <c r="A18" s="19" t="s">
        <v>277</v>
      </c>
      <c r="B18" s="19" t="s">
        <v>126</v>
      </c>
      <c r="C18" s="23" t="str">
        <f aca="false">IFERROR(INDEX(Negocios!$B$3:$B$82,MATCH(B18,Negocios!$A$3:$A$82,0)),"Negócio não encontrado")</f>
        <v>Cliente 046</v>
      </c>
      <c r="D18" s="4" t="n">
        <v>46280</v>
      </c>
      <c r="E18" s="19" t="s">
        <v>261</v>
      </c>
      <c r="F18" s="19" t="s">
        <v>39</v>
      </c>
      <c r="G18" s="19" t="s">
        <v>262</v>
      </c>
      <c r="H18" s="23" t="str">
        <f aca="false">IF(F18="Concluída e validada",IF(G18="Sim","OK","Falta checklist"),IF(D18&lt;Painel!$B$3,"Atrasada","No prazo"))</f>
        <v>OK</v>
      </c>
    </row>
    <row r="19" customFormat="false" ht="15" hidden="false" customHeight="false" outlineLevel="0" collapsed="false">
      <c r="A19" s="19" t="s">
        <v>278</v>
      </c>
      <c r="B19" s="19" t="s">
        <v>135</v>
      </c>
      <c r="C19" s="23" t="str">
        <f aca="false">IFERROR(INDEX(Negocios!$B$3:$B$82,MATCH(B19,Negocios!$A$3:$A$82,0)),"Negócio não encontrado")</f>
        <v>Cliente 013</v>
      </c>
      <c r="D19" s="4" t="n">
        <v>46308</v>
      </c>
      <c r="E19" s="19" t="s">
        <v>261</v>
      </c>
      <c r="F19" s="19" t="s">
        <v>38</v>
      </c>
      <c r="G19" s="19" t="s">
        <v>259</v>
      </c>
      <c r="H19" s="23" t="str">
        <f aca="false">IF(F19="Concluída e validada",IF(G19="Sim","OK","Falta checklist"),IF(D19&lt;Painel!$B$3,"Atrasada","No prazo"))</f>
        <v>Atrasada</v>
      </c>
    </row>
    <row r="20" customFormat="false" ht="15" hidden="false" customHeight="false" outlineLevel="0" collapsed="false">
      <c r="A20" s="19" t="s">
        <v>279</v>
      </c>
      <c r="B20" s="19" t="s">
        <v>148</v>
      </c>
      <c r="C20" s="23" t="str">
        <f aca="false">IFERROR(INDEX(Negocios!$B$3:$B$82,MATCH(B20,Negocios!$A$3:$A$82,0)),"Negócio não encontrado")</f>
        <v>Cliente 020</v>
      </c>
      <c r="D20" s="4" t="n">
        <v>46301</v>
      </c>
      <c r="E20" s="19" t="s">
        <v>266</v>
      </c>
      <c r="F20" s="19" t="s">
        <v>39</v>
      </c>
      <c r="G20" s="19" t="s">
        <v>262</v>
      </c>
      <c r="H20" s="23" t="str">
        <f aca="false">IF(F20="Concluída e validada",IF(G20="Sim","OK","Falta checklist"),IF(D20&lt;Painel!$B$3,"Atrasada","No prazo"))</f>
        <v>OK</v>
      </c>
    </row>
    <row r="21" customFormat="false" ht="15" hidden="false" customHeight="false" outlineLevel="0" collapsed="false">
      <c r="A21" s="19" t="s">
        <v>280</v>
      </c>
      <c r="B21" s="19" t="s">
        <v>154</v>
      </c>
      <c r="C21" s="23" t="str">
        <f aca="false">IFERROR(INDEX(Negocios!$B$3:$B$82,MATCH(B21,Negocios!$A$3:$A$82,0)),"Negócio não encontrado")</f>
        <v>Cliente 024</v>
      </c>
      <c r="D21" s="4" t="n">
        <v>46286</v>
      </c>
      <c r="E21" s="19" t="s">
        <v>266</v>
      </c>
      <c r="F21" s="19" t="s">
        <v>39</v>
      </c>
      <c r="G21" s="19" t="s">
        <v>262</v>
      </c>
      <c r="H21" s="23" t="str">
        <f aca="false">IF(F21="Concluída e validada",IF(G21="Sim","OK","Falta checklist"),IF(D21&lt;Painel!$B$3,"Atrasada","No prazo"))</f>
        <v>OK</v>
      </c>
    </row>
    <row r="22" customFormat="false" ht="15" hidden="false" customHeight="false" outlineLevel="0" collapsed="false">
      <c r="A22" s="19" t="s">
        <v>281</v>
      </c>
      <c r="B22" s="19" t="s">
        <v>156</v>
      </c>
      <c r="C22" s="23" t="str">
        <f aca="false">IFERROR(INDEX(Negocios!$B$3:$B$82,MATCH(B22,Negocios!$A$3:$A$82,0)),"Negócio não encontrado")</f>
        <v>Cliente 051</v>
      </c>
      <c r="D22" s="4" t="n">
        <v>46299</v>
      </c>
      <c r="E22" s="19" t="s">
        <v>261</v>
      </c>
      <c r="F22" s="19" t="s">
        <v>39</v>
      </c>
      <c r="G22" s="19" t="s">
        <v>262</v>
      </c>
      <c r="H22" s="23" t="str">
        <f aca="false">IF(F22="Concluída e validada",IF(G22="Sim","OK","Falta checklist"),IF(D22&lt;Painel!$B$3,"Atrasada","No prazo"))</f>
        <v>OK</v>
      </c>
    </row>
    <row r="23" customFormat="false" ht="15" hidden="false" customHeight="false" outlineLevel="0" collapsed="false">
      <c r="A23" s="19" t="s">
        <v>282</v>
      </c>
      <c r="B23" s="19" t="s">
        <v>162</v>
      </c>
      <c r="C23" s="23" t="str">
        <f aca="false">IFERROR(INDEX(Negocios!$B$3:$B$82,MATCH(B23,Negocios!$A$3:$A$82,0)),"Negócio não encontrado")</f>
        <v>Cliente 026</v>
      </c>
      <c r="D23" s="4" t="n">
        <v>46314</v>
      </c>
      <c r="E23" s="19" t="s">
        <v>258</v>
      </c>
      <c r="F23" s="19" t="s">
        <v>36</v>
      </c>
      <c r="G23" s="19" t="s">
        <v>259</v>
      </c>
      <c r="H23" s="23" t="str">
        <f aca="false">IF(F23="Concluída e validada",IF(G23="Sim","OK","Falta checklist"),IF(D23&lt;Painel!$B$3,"Atrasada","No prazo"))</f>
        <v>No prazo</v>
      </c>
    </row>
    <row r="24" customFormat="false" ht="15" hidden="false" customHeight="false" outlineLevel="0" collapsed="false">
      <c r="A24" s="19" t="s">
        <v>283</v>
      </c>
      <c r="B24" s="19" t="s">
        <v>172</v>
      </c>
      <c r="C24" s="23" t="str">
        <f aca="false">IFERROR(INDEX(Negocios!$B$3:$B$82,MATCH(B24,Negocios!$A$3:$A$82,0)),"Negócio não encontrado")</f>
        <v>Cliente 044</v>
      </c>
      <c r="D24" s="4" t="n">
        <v>46266</v>
      </c>
      <c r="E24" s="19" t="s">
        <v>261</v>
      </c>
      <c r="F24" s="19" t="s">
        <v>39</v>
      </c>
      <c r="G24" s="19" t="s">
        <v>262</v>
      </c>
      <c r="H24" s="23" t="str">
        <f aca="false">IF(F24="Concluída e validada",IF(G24="Sim","OK","Falta checklist"),IF(D24&lt;Painel!$B$3,"Atrasada","No prazo"))</f>
        <v>OK</v>
      </c>
    </row>
    <row r="25" customFormat="false" ht="15" hidden="false" customHeight="false" outlineLevel="0" collapsed="false">
      <c r="A25" s="19" t="s">
        <v>284</v>
      </c>
      <c r="B25" s="19" t="s">
        <v>176</v>
      </c>
      <c r="C25" s="23" t="str">
        <f aca="false">IFERROR(INDEX(Negocios!$B$3:$B$82,MATCH(B25,Negocios!$A$3:$A$82,0)),"Negócio não encontrado")</f>
        <v>Cliente 070</v>
      </c>
      <c r="D25" s="4" t="n">
        <v>46291</v>
      </c>
      <c r="E25" s="19" t="s">
        <v>266</v>
      </c>
      <c r="F25" s="19" t="s">
        <v>39</v>
      </c>
      <c r="G25" s="19" t="s">
        <v>262</v>
      </c>
      <c r="H25" s="23" t="str">
        <f aca="false">IF(F25="Concluída e validada",IF(G25="Sim","OK","Falta checklist"),IF(D25&lt;Painel!$B$3,"Atrasada","No prazo"))</f>
        <v>OK</v>
      </c>
    </row>
    <row r="26" customFormat="false" ht="15" hidden="false" customHeight="false" outlineLevel="0" collapsed="false">
      <c r="A26" s="19" t="s">
        <v>285</v>
      </c>
      <c r="B26" s="19" t="s">
        <v>178</v>
      </c>
      <c r="C26" s="23" t="str">
        <f aca="false">IFERROR(INDEX(Negocios!$B$3:$B$82,MATCH(B26,Negocios!$A$3:$A$82,0)),"Negócio não encontrado")</f>
        <v>Cliente 039</v>
      </c>
      <c r="D26" s="4" t="n">
        <v>46263</v>
      </c>
      <c r="E26" s="19" t="s">
        <v>266</v>
      </c>
      <c r="F26" s="19" t="s">
        <v>39</v>
      </c>
      <c r="G26" s="19" t="s">
        <v>262</v>
      </c>
      <c r="H26" s="23" t="str">
        <f aca="false">IF(F26="Concluída e validada",IF(G26="Sim","OK","Falta checklist"),IF(D26&lt;Painel!$B$3,"Atrasada","No prazo"))</f>
        <v>OK</v>
      </c>
    </row>
    <row r="27" customFormat="false" ht="15" hidden="false" customHeight="false" outlineLevel="0" collapsed="false">
      <c r="A27" s="19" t="s">
        <v>286</v>
      </c>
      <c r="B27" s="19" t="s">
        <v>202</v>
      </c>
      <c r="C27" s="23" t="str">
        <f aca="false">IFERROR(INDEX(Negocios!$B$3:$B$82,MATCH(B27,Negocios!$A$3:$A$82,0)),"Negócio não encontrado")</f>
        <v>Cliente 032</v>
      </c>
      <c r="D27" s="4" t="n">
        <v>46314</v>
      </c>
      <c r="E27" s="19" t="s">
        <v>261</v>
      </c>
      <c r="F27" s="19" t="s">
        <v>37</v>
      </c>
      <c r="G27" s="19" t="s">
        <v>259</v>
      </c>
      <c r="H27" s="23" t="str">
        <f aca="false">IF(F27="Concluída e validada",IF(G27="Sim","OK","Falta checklist"),IF(D27&lt;Painel!$B$3,"Atrasada","No prazo"))</f>
        <v>No prazo</v>
      </c>
    </row>
    <row r="28" customFormat="false" ht="15" hidden="false" customHeight="false" outlineLevel="0" collapsed="false">
      <c r="A28" s="19" t="s">
        <v>287</v>
      </c>
      <c r="B28" s="19" t="s">
        <v>206</v>
      </c>
      <c r="C28" s="23" t="str">
        <f aca="false">IFERROR(INDEX(Negocios!$B$3:$B$82,MATCH(B28,Negocios!$A$3:$A$82,0)),"Negócio não encontrado")</f>
        <v>Cliente 048</v>
      </c>
      <c r="D28" s="4" t="n">
        <v>46263</v>
      </c>
      <c r="E28" s="19" t="s">
        <v>266</v>
      </c>
      <c r="F28" s="19" t="s">
        <v>39</v>
      </c>
      <c r="G28" s="19" t="s">
        <v>262</v>
      </c>
      <c r="H28" s="23" t="str">
        <f aca="false">IF(F28="Concluída e validada",IF(G28="Sim","OK","Falta checklist"),IF(D28&lt;Painel!$B$3,"Atrasada","No prazo"))</f>
        <v>OK</v>
      </c>
    </row>
    <row r="29" customFormat="false" ht="15" hidden="false" customHeight="false" outlineLevel="0" collapsed="false">
      <c r="A29" s="19" t="s">
        <v>288</v>
      </c>
      <c r="B29" s="19" t="s">
        <v>210</v>
      </c>
      <c r="C29" s="23" t="str">
        <f aca="false">IFERROR(INDEX(Negocios!$B$3:$B$82,MATCH(B29,Negocios!$A$3:$A$82,0)),"Negócio não encontrado")</f>
        <v>Cliente 055</v>
      </c>
      <c r="D29" s="4" t="n">
        <v>46269</v>
      </c>
      <c r="E29" s="19" t="s">
        <v>261</v>
      </c>
      <c r="F29" s="19" t="s">
        <v>39</v>
      </c>
      <c r="G29" s="19" t="s">
        <v>262</v>
      </c>
      <c r="H29" s="23" t="str">
        <f aca="false">IF(F29="Concluída e validada",IF(G29="Sim","OK","Falta checklist"),IF(D29&lt;Painel!$B$3,"Atrasada","No prazo"))</f>
        <v>OK</v>
      </c>
    </row>
    <row r="30" customFormat="false" ht="15" hidden="false" customHeight="false" outlineLevel="0" collapsed="false">
      <c r="A30" s="19" t="s">
        <v>289</v>
      </c>
      <c r="B30" s="19" t="s">
        <v>212</v>
      </c>
      <c r="C30" s="23" t="str">
        <f aca="false">IFERROR(INDEX(Negocios!$B$3:$B$82,MATCH(B30,Negocios!$A$3:$A$82,0)),"Negócio não encontrado")</f>
        <v>Cliente 057</v>
      </c>
      <c r="D30" s="4" t="n">
        <v>46308</v>
      </c>
      <c r="E30" s="19" t="s">
        <v>261</v>
      </c>
      <c r="F30" s="19" t="s">
        <v>38</v>
      </c>
      <c r="G30" s="19" t="s">
        <v>259</v>
      </c>
      <c r="H30" s="23" t="str">
        <f aca="false">IF(F30="Concluída e validada",IF(G30="Sim","OK","Falta checklist"),IF(D30&lt;Painel!$B$3,"Atrasada","No prazo"))</f>
        <v>Atrasada</v>
      </c>
    </row>
  </sheetData>
  <conditionalFormatting sqref="H3:H30">
    <cfRule type="expression" priority="2" aboveAverage="0" equalAverage="0" bottom="0" percent="0" rank="0" text="" dxfId="0">
      <formula>OR(H3="Atrasada",H3="Falta checklist")</formula>
    </cfRule>
    <cfRule type="expression" priority="3" aboveAverage="0" equalAverage="0" bottom="0" percent="0" rank="0" text="" dxfId="1">
      <formula>OR(H3="OK",H3="No prazo")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16.15" hidden="false" customHeight="false" outlineLevel="0" collapsed="false">
      <c r="A1" s="18" t="s">
        <v>290</v>
      </c>
    </row>
    <row r="2" customFormat="false" ht="31.5" hidden="false" customHeight="true" outlineLevel="0" collapsed="false">
      <c r="A2" s="10" t="s">
        <v>76</v>
      </c>
      <c r="B2" s="10" t="s">
        <v>291</v>
      </c>
      <c r="C2" s="10" t="s">
        <v>77</v>
      </c>
      <c r="D2" s="10" t="s">
        <v>41</v>
      </c>
      <c r="E2" s="10" t="s">
        <v>33</v>
      </c>
      <c r="F2" s="10" t="s">
        <v>292</v>
      </c>
      <c r="G2" s="10" t="s">
        <v>293</v>
      </c>
      <c r="H2" s="10" t="s">
        <v>84</v>
      </c>
    </row>
    <row r="3" customFormat="false" ht="15" hidden="false" customHeight="false" outlineLevel="0" collapsed="false">
      <c r="A3" s="19" t="s">
        <v>294</v>
      </c>
      <c r="B3" s="19" t="s">
        <v>281</v>
      </c>
      <c r="C3" s="23" t="str">
        <f aca="false">IFERROR(INDEX(Instalacoes!$C$3:$C$30,MATCH(B3,Instalacoes!$A$3:$A$30,0)),"Instalação não encontrada")</f>
        <v>Cliente 051</v>
      </c>
      <c r="D3" s="19" t="s">
        <v>48</v>
      </c>
      <c r="E3" s="19" t="s">
        <v>295</v>
      </c>
      <c r="F3" s="4" t="n">
        <v>46309</v>
      </c>
      <c r="G3" s="23" t="n">
        <f aca="false">IF(E3="Resolvido","",Painel!$B$3-F3)</f>
        <v>1</v>
      </c>
      <c r="H3" s="23" t="str">
        <f aca="false">IF(G3="","",IF(G3&gt;7,"Aberto há mais de 7 dias","OK"))</f>
        <v>OK</v>
      </c>
    </row>
    <row r="4" customFormat="false" ht="15" hidden="false" customHeight="false" outlineLevel="0" collapsed="false">
      <c r="A4" s="19" t="s">
        <v>296</v>
      </c>
      <c r="B4" s="19" t="s">
        <v>287</v>
      </c>
      <c r="C4" s="23" t="str">
        <f aca="false">IFERROR(INDEX(Instalacoes!$C$3:$C$30,MATCH(B4,Instalacoes!$A$3:$A$30,0)),"Instalação não encontrada")</f>
        <v>Cliente 048</v>
      </c>
      <c r="D4" s="19" t="s">
        <v>44</v>
      </c>
      <c r="E4" s="19" t="s">
        <v>297</v>
      </c>
      <c r="F4" s="4" t="n">
        <v>46300</v>
      </c>
      <c r="G4" s="23" t="n">
        <f aca="false">IF(E4="Resolvido","",Painel!$B$3-F4)</f>
        <v>10</v>
      </c>
      <c r="H4" s="23" t="str">
        <f aca="false">IF(G4="","",IF(G4&gt;7,"Aberto há mais de 7 dias","OK"))</f>
        <v>Aberto há mais de 7 dias</v>
      </c>
    </row>
    <row r="5" customFormat="false" ht="15" hidden="false" customHeight="false" outlineLevel="0" collapsed="false">
      <c r="A5" s="19" t="s">
        <v>298</v>
      </c>
      <c r="B5" s="19" t="s">
        <v>285</v>
      </c>
      <c r="C5" s="23" t="str">
        <f aca="false">IFERROR(INDEX(Instalacoes!$C$3:$C$30,MATCH(B5,Instalacoes!$A$3:$A$30,0)),"Instalação não encontrada")</f>
        <v>Cliente 039</v>
      </c>
      <c r="D5" s="19" t="s">
        <v>44</v>
      </c>
      <c r="E5" s="19" t="s">
        <v>299</v>
      </c>
      <c r="F5" s="4" t="n">
        <v>46298</v>
      </c>
      <c r="G5" s="23" t="n">
        <f aca="false">IF(E5="Resolvido","",Painel!$B$3-F5)</f>
        <v>12</v>
      </c>
      <c r="H5" s="23" t="str">
        <f aca="false">IF(G5="","",IF(G5&gt;7,"Aberto há mais de 7 dias","OK"))</f>
        <v>Aberto há mais de 7 dias</v>
      </c>
    </row>
    <row r="6" customFormat="false" ht="15" hidden="false" customHeight="false" outlineLevel="0" collapsed="false">
      <c r="A6" s="19" t="s">
        <v>300</v>
      </c>
      <c r="B6" s="19" t="s">
        <v>279</v>
      </c>
      <c r="C6" s="23" t="str">
        <f aca="false">IFERROR(INDEX(Instalacoes!$C$3:$C$30,MATCH(B6,Instalacoes!$A$3:$A$30,0)),"Instalação não encontrada")</f>
        <v>Cliente 020</v>
      </c>
      <c r="D6" s="19" t="s">
        <v>45</v>
      </c>
      <c r="E6" s="19" t="s">
        <v>301</v>
      </c>
      <c r="F6" s="4" t="n">
        <v>46305</v>
      </c>
      <c r="G6" s="23" t="n">
        <f aca="false">IF(E6="Resolvido","",Painel!$B$3-F6)</f>
        <v>5</v>
      </c>
      <c r="H6" s="23" t="str">
        <f aca="false">IF(G6="","",IF(G6&gt;7,"Aberto há mais de 7 dias","OK"))</f>
        <v>OK</v>
      </c>
    </row>
    <row r="7" customFormat="false" ht="15" hidden="false" customHeight="false" outlineLevel="0" collapsed="false">
      <c r="A7" s="19" t="s">
        <v>302</v>
      </c>
      <c r="B7" s="19" t="s">
        <v>264</v>
      </c>
      <c r="C7" s="23" t="str">
        <f aca="false">IFERROR(INDEX(Instalacoes!$C$3:$C$30,MATCH(B7,Instalacoes!$A$3:$A$30,0)),"Instalação não encontrada")</f>
        <v>Cliente 023</v>
      </c>
      <c r="D7" s="19" t="s">
        <v>47</v>
      </c>
      <c r="E7" s="19" t="s">
        <v>303</v>
      </c>
      <c r="F7" s="4" t="n">
        <v>46303</v>
      </c>
      <c r="G7" s="23" t="str">
        <f aca="false">IF(E7="Resolvido","",Painel!$B$3-F7)</f>
        <v/>
      </c>
      <c r="H7" s="23" t="str">
        <f aca="false">IF(G7="","",IF(G7&gt;7,"Aberto há mais de 7 dias","OK"))</f>
        <v/>
      </c>
    </row>
    <row r="8" customFormat="false" ht="15" hidden="false" customHeight="false" outlineLevel="0" collapsed="false">
      <c r="A8" s="19" t="s">
        <v>304</v>
      </c>
      <c r="B8" s="19" t="s">
        <v>280</v>
      </c>
      <c r="C8" s="23" t="str">
        <f aca="false">IFERROR(INDEX(Instalacoes!$C$3:$C$30,MATCH(B8,Instalacoes!$A$3:$A$30,0)),"Instalação não encontrada")</f>
        <v>Cliente 024</v>
      </c>
      <c r="D8" s="19" t="s">
        <v>48</v>
      </c>
      <c r="E8" s="19" t="s">
        <v>303</v>
      </c>
      <c r="F8" s="4" t="n">
        <v>46309</v>
      </c>
      <c r="G8" s="23" t="str">
        <f aca="false">IF(E8="Resolvido","",Painel!$B$3-F8)</f>
        <v/>
      </c>
      <c r="H8" s="23" t="str">
        <f aca="false">IF(G8="","",IF(G8&gt;7,"Aberto há mais de 7 dias","OK"))</f>
        <v/>
      </c>
    </row>
    <row r="9" customFormat="false" ht="15" hidden="false" customHeight="false" outlineLevel="0" collapsed="false">
      <c r="A9" s="19" t="s">
        <v>305</v>
      </c>
      <c r="B9" s="19" t="s">
        <v>260</v>
      </c>
      <c r="C9" s="23" t="str">
        <f aca="false">IFERROR(INDEX(Instalacoes!$C$3:$C$30,MATCH(B9,Instalacoes!$A$3:$A$30,0)),"Instalação não encontrada")</f>
        <v>Cliente 022</v>
      </c>
      <c r="D9" s="19" t="s">
        <v>45</v>
      </c>
      <c r="E9" s="19" t="s">
        <v>303</v>
      </c>
      <c r="F9" s="4" t="n">
        <v>46299</v>
      </c>
      <c r="G9" s="23" t="str">
        <f aca="false">IF(E9="Resolvido","",Painel!$B$3-F9)</f>
        <v/>
      </c>
      <c r="H9" s="23" t="str">
        <f aca="false">IF(G9="","",IF(G9&gt;7,"Aberto há mais de 7 dias","OK"))</f>
        <v/>
      </c>
    </row>
    <row r="10" customFormat="false" ht="15" hidden="false" customHeight="false" outlineLevel="0" collapsed="false">
      <c r="A10" s="19" t="s">
        <v>306</v>
      </c>
      <c r="B10" s="19" t="s">
        <v>274</v>
      </c>
      <c r="C10" s="23" t="str">
        <f aca="false">IFERROR(INDEX(Instalacoes!$C$3:$C$30,MATCH(B10,Instalacoes!$A$3:$A$30,0)),"Instalação não encontrada")</f>
        <v>Cliente 065</v>
      </c>
      <c r="D10" s="19" t="s">
        <v>47</v>
      </c>
      <c r="E10" s="19" t="s">
        <v>303</v>
      </c>
      <c r="F10" s="4" t="n">
        <v>46309</v>
      </c>
      <c r="G10" s="23" t="str">
        <f aca="false">IF(E10="Resolvido","",Painel!$B$3-F10)</f>
        <v/>
      </c>
      <c r="H10" s="23" t="str">
        <f aca="false">IF(G10="","",IF(G10&gt;7,"Aberto há mais de 7 dias","OK"))</f>
        <v/>
      </c>
    </row>
  </sheetData>
  <conditionalFormatting sqref="H3:H10">
    <cfRule type="expression" priority="2" aboveAverage="0" equalAverage="0" bottom="0" percent="0" rank="0" text="" dxfId="0">
      <formula>LEFT(H3,6)="Aberto"</formula>
    </cfRule>
    <cfRule type="expression" priority="3" aboveAverage="0" equalAverage="0" bottom="0" percent="0" rank="0" text="" dxfId="1">
      <formula>H3="OK"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8" t="s">
        <v>307</v>
      </c>
    </row>
    <row r="2" customFormat="false" ht="15" hidden="false" customHeight="false" outlineLevel="0" collapsed="false">
      <c r="A2" s="10" t="s">
        <v>77</v>
      </c>
      <c r="B2" s="10" t="s">
        <v>308</v>
      </c>
      <c r="C2" s="10" t="s">
        <v>309</v>
      </c>
    </row>
    <row r="3" customFormat="false" ht="15" hidden="false" customHeight="false" outlineLevel="0" collapsed="false">
      <c r="A3" s="19" t="s">
        <v>87</v>
      </c>
      <c r="B3" s="19" t="n">
        <v>88</v>
      </c>
      <c r="C3" s="23" t="str">
        <f aca="false">IF(B3&gt;=80,"Saudável",IF(B3&gt;=50,"Atenção","Risco"))</f>
        <v>Saudável</v>
      </c>
    </row>
    <row r="4" customFormat="false" ht="15" hidden="false" customHeight="false" outlineLevel="0" collapsed="false">
      <c r="A4" s="19" t="s">
        <v>90</v>
      </c>
      <c r="B4" s="19" t="n">
        <v>76</v>
      </c>
      <c r="C4" s="23" t="str">
        <f aca="false">IF(B4&gt;=80,"Saudável",IF(B4&gt;=50,"Atenção","Risco"))</f>
        <v>Atenção</v>
      </c>
    </row>
    <row r="5" customFormat="false" ht="15" hidden="false" customHeight="false" outlineLevel="0" collapsed="false">
      <c r="A5" s="19" t="s">
        <v>93</v>
      </c>
      <c r="B5" s="19" t="n">
        <v>76</v>
      </c>
      <c r="C5" s="23" t="str">
        <f aca="false">IF(B5&gt;=80,"Saudável",IF(B5&gt;=50,"Atenção","Risco"))</f>
        <v>Atenção</v>
      </c>
    </row>
    <row r="6" customFormat="false" ht="15" hidden="false" customHeight="false" outlineLevel="0" collapsed="false">
      <c r="A6" s="19" t="s">
        <v>95</v>
      </c>
      <c r="B6" s="19" t="n">
        <v>76</v>
      </c>
      <c r="C6" s="23" t="str">
        <f aca="false">IF(B6&gt;=80,"Saudável",IF(B6&gt;=50,"Atenção","Risco"))</f>
        <v>Atenção</v>
      </c>
    </row>
    <row r="7" customFormat="false" ht="15" hidden="false" customHeight="false" outlineLevel="0" collapsed="false">
      <c r="A7" s="19" t="s">
        <v>97</v>
      </c>
      <c r="B7" s="19" t="n">
        <v>72</v>
      </c>
      <c r="C7" s="23" t="str">
        <f aca="false">IF(B7&gt;=80,"Saudável",IF(B7&gt;=50,"Atenção","Risco"))</f>
        <v>Atenção</v>
      </c>
    </row>
    <row r="8" customFormat="false" ht="15" hidden="false" customHeight="false" outlineLevel="0" collapsed="false">
      <c r="A8" s="19" t="s">
        <v>99</v>
      </c>
      <c r="B8" s="19" t="n">
        <v>52</v>
      </c>
      <c r="C8" s="23" t="str">
        <f aca="false">IF(B8&gt;=80,"Saudável",IF(B8&gt;=50,"Atenção","Risco"))</f>
        <v>Atenção</v>
      </c>
    </row>
    <row r="9" customFormat="false" ht="15" hidden="false" customHeight="false" outlineLevel="0" collapsed="false">
      <c r="A9" s="19" t="s">
        <v>101</v>
      </c>
      <c r="B9" s="19" t="n">
        <v>52</v>
      </c>
      <c r="C9" s="23" t="str">
        <f aca="false">IF(B9&gt;=80,"Saudável",IF(B9&gt;=50,"Atenção","Risco"))</f>
        <v>Atenção</v>
      </c>
    </row>
    <row r="10" customFormat="false" ht="15" hidden="false" customHeight="false" outlineLevel="0" collapsed="false">
      <c r="A10" s="19" t="s">
        <v>103</v>
      </c>
      <c r="B10" s="19" t="n">
        <v>52</v>
      </c>
      <c r="C10" s="23" t="str">
        <f aca="false">IF(B10&gt;=80,"Saudável",IF(B10&gt;=50,"Atenção","Risco"))</f>
        <v>Atenção</v>
      </c>
    </row>
    <row r="11" customFormat="false" ht="15" hidden="false" customHeight="false" outlineLevel="0" collapsed="false">
      <c r="A11" s="19" t="s">
        <v>111</v>
      </c>
      <c r="B11" s="19" t="n">
        <v>66</v>
      </c>
      <c r="C11" s="23" t="str">
        <f aca="false">IF(B11&gt;=80,"Saudável",IF(B11&gt;=50,"Atenção","Risco"))</f>
        <v>Atenção</v>
      </c>
    </row>
    <row r="12" customFormat="false" ht="15" hidden="false" customHeight="false" outlineLevel="0" collapsed="false">
      <c r="A12" s="19" t="s">
        <v>113</v>
      </c>
      <c r="B12" s="19" t="n">
        <v>52</v>
      </c>
      <c r="C12" s="23" t="str">
        <f aca="false">IF(B12&gt;=80,"Saudável",IF(B12&gt;=50,"Atenção","Risco"))</f>
        <v>Atenção</v>
      </c>
    </row>
    <row r="13" customFormat="false" ht="15" hidden="false" customHeight="false" outlineLevel="0" collapsed="false">
      <c r="A13" s="19" t="s">
        <v>115</v>
      </c>
      <c r="B13" s="19" t="n">
        <v>47</v>
      </c>
      <c r="C13" s="23" t="str">
        <f aca="false">IF(B13&gt;=80,"Saudável",IF(B13&gt;=50,"Atenção","Risco"))</f>
        <v>Risco</v>
      </c>
    </row>
    <row r="14" customFormat="false" ht="15" hidden="false" customHeight="false" outlineLevel="0" collapsed="false">
      <c r="A14" s="19" t="s">
        <v>117</v>
      </c>
      <c r="B14" s="19" t="n">
        <v>85</v>
      </c>
      <c r="C14" s="23" t="str">
        <f aca="false">IF(B14&gt;=80,"Saudável",IF(B14&gt;=50,"Atenção","Risco"))</f>
        <v>Saudável</v>
      </c>
    </row>
    <row r="15" customFormat="false" ht="15" hidden="false" customHeight="false" outlineLevel="0" collapsed="false">
      <c r="A15" s="19" t="s">
        <v>121</v>
      </c>
      <c r="B15" s="19" t="n">
        <v>88</v>
      </c>
      <c r="C15" s="23" t="str">
        <f aca="false">IF(B15&gt;=80,"Saudável",IF(B15&gt;=50,"Atenção","Risco"))</f>
        <v>Saudável</v>
      </c>
    </row>
    <row r="16" customFormat="false" ht="15" hidden="false" customHeight="false" outlineLevel="0" collapsed="false">
      <c r="A16" s="19" t="s">
        <v>123</v>
      </c>
      <c r="B16" s="19" t="n">
        <v>40</v>
      </c>
      <c r="C16" s="23" t="str">
        <f aca="false">IF(B16&gt;=80,"Saudável",IF(B16&gt;=50,"Atenção","Risco"))</f>
        <v>Risco</v>
      </c>
    </row>
    <row r="17" customFormat="false" ht="15" hidden="false" customHeight="false" outlineLevel="0" collapsed="false">
      <c r="A17" s="19" t="s">
        <v>125</v>
      </c>
      <c r="B17" s="19" t="n">
        <v>58</v>
      </c>
      <c r="C17" s="23" t="str">
        <f aca="false">IF(B17&gt;=80,"Saudável",IF(B17&gt;=50,"Atenção","Risco"))</f>
        <v>Atenção</v>
      </c>
    </row>
    <row r="18" customFormat="false" ht="15" hidden="false" customHeight="false" outlineLevel="0" collapsed="false">
      <c r="A18" s="19" t="s">
        <v>127</v>
      </c>
      <c r="B18" s="19" t="n">
        <v>90</v>
      </c>
      <c r="C18" s="23" t="str">
        <f aca="false">IF(B18&gt;=80,"Saudável",IF(B18&gt;=50,"Atenção","Risco"))</f>
        <v>Saudável</v>
      </c>
    </row>
    <row r="19" customFormat="false" ht="15" hidden="false" customHeight="false" outlineLevel="0" collapsed="false">
      <c r="A19" s="19" t="s">
        <v>136</v>
      </c>
      <c r="B19" s="19" t="n">
        <v>40</v>
      </c>
      <c r="C19" s="23" t="str">
        <f aca="false">IF(B19&gt;=80,"Saudável",IF(B19&gt;=50,"Atenção","Risco"))</f>
        <v>Risco</v>
      </c>
    </row>
    <row r="20" customFormat="false" ht="15" hidden="false" customHeight="false" outlineLevel="0" collapsed="false">
      <c r="A20" s="19" t="s">
        <v>149</v>
      </c>
      <c r="B20" s="19" t="n">
        <v>88</v>
      </c>
      <c r="C20" s="23" t="str">
        <f aca="false">IF(B20&gt;=80,"Saudável",IF(B20&gt;=50,"Atenção","Risco"))</f>
        <v>Saudável</v>
      </c>
    </row>
    <row r="21" customFormat="false" ht="15" hidden="false" customHeight="false" outlineLevel="0" collapsed="false">
      <c r="A21" s="19" t="s">
        <v>155</v>
      </c>
      <c r="B21" s="19" t="n">
        <v>52</v>
      </c>
      <c r="C21" s="23" t="str">
        <f aca="false">IF(B21&gt;=80,"Saudável",IF(B21&gt;=50,"Atenção","Risco"))</f>
        <v>Atenção</v>
      </c>
    </row>
    <row r="22" customFormat="false" ht="15" hidden="false" customHeight="false" outlineLevel="0" collapsed="false">
      <c r="A22" s="19" t="s">
        <v>157</v>
      </c>
      <c r="B22" s="19" t="n">
        <v>47</v>
      </c>
      <c r="C22" s="23" t="str">
        <f aca="false">IF(B22&gt;=80,"Saudável",IF(B22&gt;=50,"Atenção","Risco"))</f>
        <v>Risco</v>
      </c>
    </row>
    <row r="23" customFormat="false" ht="15" hidden="false" customHeight="false" outlineLevel="0" collapsed="false">
      <c r="A23" s="19" t="s">
        <v>163</v>
      </c>
      <c r="B23" s="19" t="n">
        <v>40</v>
      </c>
      <c r="C23" s="23" t="str">
        <f aca="false">IF(B23&gt;=80,"Saudável",IF(B23&gt;=50,"Atenção","Risco"))</f>
        <v>Risco</v>
      </c>
    </row>
    <row r="24" customFormat="false" ht="15" hidden="false" customHeight="false" outlineLevel="0" collapsed="false">
      <c r="A24" s="19" t="s">
        <v>173</v>
      </c>
      <c r="B24" s="19" t="n">
        <v>90</v>
      </c>
      <c r="C24" s="23" t="str">
        <f aca="false">IF(B24&gt;=80,"Saudável",IF(B24&gt;=50,"Atenção","Risco"))</f>
        <v>Saudável</v>
      </c>
    </row>
    <row r="25" customFormat="false" ht="15" hidden="false" customHeight="false" outlineLevel="0" collapsed="false">
      <c r="A25" s="19" t="s">
        <v>177</v>
      </c>
      <c r="B25" s="19" t="n">
        <v>92</v>
      </c>
      <c r="C25" s="23" t="str">
        <f aca="false">IF(B25&gt;=80,"Saudável",IF(B25&gt;=50,"Atenção","Risco"))</f>
        <v>Saudável</v>
      </c>
    </row>
    <row r="26" customFormat="false" ht="15" hidden="false" customHeight="false" outlineLevel="0" collapsed="false">
      <c r="A26" s="19" t="s">
        <v>179</v>
      </c>
      <c r="B26" s="19" t="n">
        <v>66</v>
      </c>
      <c r="C26" s="23" t="str">
        <f aca="false">IF(B26&gt;=80,"Saudável",IF(B26&gt;=50,"Atenção","Risco"))</f>
        <v>Atenção</v>
      </c>
    </row>
    <row r="27" customFormat="false" ht="15" hidden="false" customHeight="false" outlineLevel="0" collapsed="false">
      <c r="A27" s="19" t="s">
        <v>203</v>
      </c>
      <c r="B27" s="19" t="n">
        <v>84</v>
      </c>
      <c r="C27" s="23" t="str">
        <f aca="false">IF(B27&gt;=80,"Saudável",IF(B27&gt;=50,"Atenção","Risco"))</f>
        <v>Saudável</v>
      </c>
    </row>
    <row r="28" customFormat="false" ht="15" hidden="false" customHeight="false" outlineLevel="0" collapsed="false">
      <c r="A28" s="19" t="s">
        <v>207</v>
      </c>
      <c r="B28" s="19" t="n">
        <v>66</v>
      </c>
      <c r="C28" s="23" t="str">
        <f aca="false">IF(B28&gt;=80,"Saudável",IF(B28&gt;=50,"Atenção","Risco"))</f>
        <v>Atenção</v>
      </c>
    </row>
    <row r="29" customFormat="false" ht="15" hidden="false" customHeight="false" outlineLevel="0" collapsed="false">
      <c r="A29" s="19" t="s">
        <v>211</v>
      </c>
      <c r="B29" s="19" t="n">
        <v>58</v>
      </c>
      <c r="C29" s="23" t="str">
        <f aca="false">IF(B29&gt;=80,"Saudável",IF(B29&gt;=50,"Atenção","Risco"))</f>
        <v>Atenção</v>
      </c>
    </row>
    <row r="30" customFormat="false" ht="15" hidden="false" customHeight="false" outlineLevel="0" collapsed="false">
      <c r="A30" s="19" t="s">
        <v>213</v>
      </c>
      <c r="B30" s="19" t="n">
        <v>84</v>
      </c>
      <c r="C30" s="23" t="str">
        <f aca="false">IF(B30&gt;=80,"Saudável",IF(B30&gt;=50,"Atenção","Risco"))</f>
        <v>Saudável</v>
      </c>
    </row>
  </sheetData>
  <conditionalFormatting sqref="C3:C30">
    <cfRule type="expression" priority="2" aboveAverage="0" equalAverage="0" bottom="0" percent="0" rank="0" text="" dxfId="0">
      <formula>C3="Risco"</formula>
    </cfRule>
    <cfRule type="expression" priority="3" aboveAverage="0" equalAverage="0" bottom="0" percent="0" rank="0" text="" dxfId="2">
      <formula>C3="Atenção"</formula>
    </cfRule>
    <cfRule type="expression" priority="4" aboveAverage="0" equalAverage="0" bottom="0" percent="0" rank="0" text="" dxfId="1">
      <formula>C3="Saudável"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28"/>
    <col collapsed="false" customWidth="true" hidden="false" outlineLevel="0" max="7" min="7" style="0" width="3"/>
    <col collapsed="false" customWidth="true" hidden="false" outlineLevel="0" max="8" min="8" style="0" width="2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1" min="11" style="0" width="3"/>
    <col collapsed="false" customWidth="true" hidden="false" outlineLevel="0" max="12" min="12" style="0" width="26"/>
    <col collapsed="false" customWidth="true" hidden="false" outlineLevel="0" max="13" min="13" style="0" width="3"/>
  </cols>
  <sheetData>
    <row r="1" customFormat="false" ht="15" hidden="false" customHeight="false" outlineLevel="0" collapsed="false">
      <c r="A1" s="10" t="s">
        <v>310</v>
      </c>
      <c r="B1" s="10" t="s">
        <v>82</v>
      </c>
      <c r="D1" s="10" t="s">
        <v>311</v>
      </c>
      <c r="F1" s="10" t="s">
        <v>312</v>
      </c>
      <c r="H1" s="10" t="s">
        <v>313</v>
      </c>
      <c r="J1" s="10" t="s">
        <v>25</v>
      </c>
      <c r="L1" s="10" t="s">
        <v>81</v>
      </c>
    </row>
    <row r="2" customFormat="false" ht="15" hidden="false" customHeight="false" outlineLevel="0" collapsed="false">
      <c r="A2" s="24" t="s">
        <v>19</v>
      </c>
      <c r="B2" s="25" t="n">
        <v>0.1</v>
      </c>
      <c r="D2" s="24" t="s">
        <v>36</v>
      </c>
      <c r="F2" s="24" t="s">
        <v>44</v>
      </c>
      <c r="H2" s="24" t="s">
        <v>295</v>
      </c>
      <c r="J2" s="24" t="s">
        <v>28</v>
      </c>
      <c r="L2" s="24" t="s">
        <v>132</v>
      </c>
    </row>
    <row r="3" customFormat="false" ht="15" hidden="false" customHeight="false" outlineLevel="0" collapsed="false">
      <c r="A3" s="24" t="s">
        <v>20</v>
      </c>
      <c r="B3" s="25" t="n">
        <v>0.4</v>
      </c>
      <c r="D3" s="24" t="s">
        <v>37</v>
      </c>
      <c r="F3" s="24" t="s">
        <v>45</v>
      </c>
      <c r="H3" s="24" t="s">
        <v>297</v>
      </c>
      <c r="J3" s="24" t="s">
        <v>29</v>
      </c>
      <c r="L3" s="24" t="s">
        <v>141</v>
      </c>
    </row>
    <row r="4" customFormat="false" ht="15" hidden="false" customHeight="false" outlineLevel="0" collapsed="false">
      <c r="A4" s="24" t="s">
        <v>21</v>
      </c>
      <c r="B4" s="25" t="n">
        <v>0.7</v>
      </c>
      <c r="D4" s="24" t="s">
        <v>38</v>
      </c>
      <c r="F4" s="24" t="s">
        <v>46</v>
      </c>
      <c r="H4" s="24" t="s">
        <v>299</v>
      </c>
      <c r="J4" s="24" t="s">
        <v>30</v>
      </c>
      <c r="L4" s="24" t="s">
        <v>106</v>
      </c>
    </row>
    <row r="5" customFormat="false" ht="15" hidden="false" customHeight="false" outlineLevel="0" collapsed="false">
      <c r="A5" s="24" t="s">
        <v>22</v>
      </c>
      <c r="B5" s="25" t="n">
        <v>1</v>
      </c>
      <c r="D5" s="24" t="s">
        <v>39</v>
      </c>
      <c r="F5" s="24" t="s">
        <v>47</v>
      </c>
      <c r="H5" s="24" t="s">
        <v>301</v>
      </c>
      <c r="J5" s="24" t="s">
        <v>31</v>
      </c>
      <c r="L5" s="24" t="s">
        <v>109</v>
      </c>
    </row>
    <row r="6" customFormat="false" ht="15" hidden="false" customHeight="false" outlineLevel="0" collapsed="false">
      <c r="A6" s="24" t="s">
        <v>23</v>
      </c>
      <c r="B6" s="25" t="n">
        <v>0</v>
      </c>
      <c r="F6" s="24" t="s">
        <v>48</v>
      </c>
      <c r="H6" s="24" t="s">
        <v>303</v>
      </c>
    </row>
    <row r="8" customFormat="false" ht="15" hidden="false" customHeight="false" outlineLevel="0" collapsed="false">
      <c r="A8" s="2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2026-10-15T18:55:33Z</dcterms:created>
  <dc:creator>openpyxl</dc:creator>
  <dc:description/>
  <dc:language>en-US</dc:language>
  <cp:lastModifiedBy/>
  <dcterms:modified xsi:type="dcterms:W3CDTF">2026-10-15T18:55:35Z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